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PC Gamer\Downloads\"/>
    </mc:Choice>
  </mc:AlternateContent>
  <xr:revisionPtr revIDLastSave="0" documentId="13_ncr:1_{56760A0A-79B4-42A8-A0D2-A4C911176934}" xr6:coauthVersionLast="47" xr6:coauthVersionMax="47" xr10:uidLastSave="{00000000-0000-0000-0000-000000000000}"/>
  <bookViews>
    <workbookView xWindow="-120" yWindow="-120" windowWidth="21840" windowHeight="13740" tabRatio="0" xr2:uid="{71268657-F442-4781-AF3F-FFF01178C572}"/>
  </bookViews>
  <sheets>
    <sheet name="TITULAR" sheetId="1" r:id="rId1"/>
    <sheet name="INFORMES" sheetId="10" r:id="rId2"/>
    <sheet name="NOTAS" sheetId="11" r:id="rId3"/>
    <sheet name="BENS" sheetId="13" r:id="rId4"/>
    <sheet name="Bank" sheetId="7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7" i="13" l="1"/>
  <c r="C8" i="10"/>
</calcChain>
</file>

<file path=xl/sharedStrings.xml><?xml version="1.0" encoding="utf-8"?>
<sst xmlns="http://schemas.openxmlformats.org/spreadsheetml/2006/main" count="125" uniqueCount="110">
  <si>
    <t>CPF</t>
  </si>
  <si>
    <t>NOME</t>
  </si>
  <si>
    <t>TÍTULO DE ELEITOR</t>
  </si>
  <si>
    <t>RUA</t>
  </si>
  <si>
    <t>CÔNJUGE</t>
  </si>
  <si>
    <t>RUA ABREVIADA</t>
  </si>
  <si>
    <t>CEP</t>
  </si>
  <si>
    <t>TELEFONE</t>
  </si>
  <si>
    <t>CELULAR</t>
  </si>
  <si>
    <t>E-MAIL</t>
  </si>
  <si>
    <t>ALTERAÇÃO DA ENTREGA ANTERIOR</t>
  </si>
  <si>
    <t>DEPENDENTE/CÔNJUGE</t>
  </si>
  <si>
    <t>RESIDENTE DO EXTERIOR</t>
  </si>
  <si>
    <t>1. Dados do Titular</t>
  </si>
  <si>
    <t>SIM</t>
  </si>
  <si>
    <t>Lúcio Artório Casto</t>
  </si>
  <si>
    <t>lucio@provincia.roma</t>
  </si>
  <si>
    <t>Britânia - n°46</t>
  </si>
  <si>
    <t>NASCIMENTO</t>
  </si>
  <si>
    <t>31/12/1212</t>
  </si>
  <si>
    <t>Prencha com os dados atuais de suas contas bancárias.</t>
  </si>
  <si>
    <t>Dados da pessoa física.</t>
  </si>
  <si>
    <t>BANCO</t>
  </si>
  <si>
    <t>VALOR ATUAL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</si>
  <si>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</si>
  <si>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</si>
  <si>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</si>
  <si>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</si>
  <si>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</si>
  <si>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</si>
  <si>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</si>
  <si>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</si>
  <si>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</si>
  <si>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</si>
  <si>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</si>
  <si>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</si>
  <si>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</si>
  <si>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</si>
  <si>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</si>
  <si>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</si>
  <si>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</si>
  <si>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</si>
  <si>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</si>
  <si>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</si>
  <si>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</si>
  <si>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</si>
  <si>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</si>
  <si>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</si>
  <si>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</si>
  <si>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</si>
  <si>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</si>
  <si>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</si>
  <si>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</si>
  <si>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</si>
  <si>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</si>
  <si>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</si>
  <si>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</si>
  <si>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</si>
  <si>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</si>
  <si>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</si>
  <si>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</si>
  <si>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</si>
  <si>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</si>
  <si>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</si>
  <si>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</si>
  <si>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</si>
  <si>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</si>
  <si>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</si>
  <si>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</si>
  <si>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</si>
  <si>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</si>
  <si>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</si>
  <si>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</si>
  <si>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</si>
  <si>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Bank</t>
  </si>
  <si>
    <t>1º Banco</t>
  </si>
  <si>
    <t>2º Banco</t>
  </si>
  <si>
    <t>3º Banco</t>
  </si>
  <si>
    <t>Total</t>
  </si>
  <si>
    <t>ST_ImposRe_2027.pdf</t>
  </si>
  <si>
    <t>CX_ImposRe_2027.pdf</t>
  </si>
  <si>
    <t>Brad_ImposRe_2027.pdf</t>
  </si>
  <si>
    <t>2. Informe dos Rendimentos Bancários</t>
  </si>
  <si>
    <t>3. Notas Bancárias e/ou Extratos de Holerites</t>
  </si>
  <si>
    <t>Data</t>
  </si>
  <si>
    <t>Categoria</t>
  </si>
  <si>
    <t>Valor</t>
  </si>
  <si>
    <t>ENTRADAS</t>
  </si>
  <si>
    <t>Freelance</t>
  </si>
  <si>
    <t>Descrição</t>
  </si>
  <si>
    <t>Veículo</t>
  </si>
  <si>
    <t>Honda Civic</t>
  </si>
  <si>
    <t>documento.pdf</t>
  </si>
  <si>
    <t>Imóvel</t>
  </si>
  <si>
    <t>Apartamento</t>
  </si>
  <si>
    <t>escritura.pdf</t>
  </si>
  <si>
    <t>Investimento</t>
  </si>
  <si>
    <t>Tesouro Direto</t>
  </si>
  <si>
    <t>informe.pdf</t>
  </si>
  <si>
    <t>BENS</t>
  </si>
  <si>
    <t>Todos os valores de extratos mês a mês.</t>
  </si>
  <si>
    <r>
      <rPr>
        <b/>
        <sz val="8"/>
        <color rgb="FF1B2633"/>
        <rFont val="Montserrat"/>
      </rPr>
      <t>ANEXO</t>
    </r>
    <r>
      <rPr>
        <sz val="8"/>
        <color rgb="FF1B2633"/>
        <rFont val="Montserrat"/>
      </rPr>
      <t xml:space="preserve"> 📎</t>
    </r>
  </si>
  <si>
    <t>Dados de propriedades e responsabilidades.</t>
  </si>
  <si>
    <t>Local</t>
  </si>
  <si>
    <t>XP - Investimentos</t>
  </si>
  <si>
    <t>4. Bens e Direitos de Propriedade</t>
  </si>
  <si>
    <t>Anexos 📎</t>
  </si>
  <si>
    <t>São Paulo - SP</t>
  </si>
  <si>
    <t>Província Britânia - n°46</t>
  </si>
  <si>
    <t>Helena Athena Casto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</si>
</sst>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&quot; &quot;0000&quot; &quot;0000"/>
    <numFmt numFmtId="166" formatCode="00000&quot;-&quot;000"/>
    <numFmt numFmtId="167" formatCode="0&quot; &quot;0000&quot; &quot;0000"/>
    <numFmt numFmtId="168" formatCode="&quot;(&quot;00&quot;)&quot;&quot; &quot;0000&quot; &quot;0000"/>
    <numFmt numFmtId="169" formatCode="&quot;R$&quot;\ #,##0.00"/>
    <numFmt numFmtId="170" formatCode="[$-416]mmmm\-yy;@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8"/>
      <color theme="1"/>
      <name val="Montserrat"/>
    </font>
    <font>
      <b/>
      <sz val="11"/>
      <color theme="1"/>
      <name val="Montserrat"/>
    </font>
    <font>
      <b/>
      <sz val="11"/>
      <color rgb="FF1F5F99"/>
      <name val="Montserrat"/>
    </font>
    <font>
      <i/>
      <sz val="8"/>
      <color rgb="FF0E1317"/>
      <name val="Montserrat"/>
    </font>
    <font>
      <b/>
      <sz val="8"/>
      <color rgb="FF1B2633"/>
      <name val="Montserrat"/>
    </font>
    <font>
      <sz val="8"/>
      <color theme="0" tint="-0.499984740745262"/>
      <name val="Montserrat"/>
    </font>
    <font>
      <b/>
      <sz val="8"/>
      <color rgb="FF1F5F99"/>
      <name val="Montserrat"/>
    </font>
    <font>
      <b/>
      <sz val="12"/>
      <color rgb="FF9C5700"/>
      <name val="Montserrat"/>
    </font>
    <font>
      <b/>
      <sz val="11"/>
      <color theme="0"/>
      <name val="Montserrat"/>
    </font>
    <font>
      <sz val="8"/>
      <color rgb="FF1F5F99"/>
      <name val="Montserrat"/>
    </font>
    <font>
      <b/>
      <sz val="8"/>
      <color theme="1"/>
      <name val="Montserrat"/>
    </font>
    <font>
      <sz val="8"/>
      <color rgb="FF1B2633"/>
      <name val="Montserrat"/>
    </font>
  </fonts>
  <fills count="7">
    <fill>
      <patternFill patternType="none"/>
    </fill>
    <fill>
      <patternFill patternType="gray125"/>
    </fill>
    <fill>
      <patternFill patternType="solid">
        <fgColor rgb="FF1B2633"/>
        <bgColor indexed="64"/>
      </patternFill>
    </fill>
    <fill>
      <patternFill patternType="solid">
        <fgColor rgb="FFFFEB9C"/>
      </patternFill>
    </fill>
    <fill>
      <patternFill patternType="solid">
        <fgColor rgb="FF6FB7E8"/>
        <bgColor indexed="64"/>
      </patternFill>
    </fill>
    <fill>
      <patternFill patternType="solid">
        <fgColor rgb="FF3E6388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3E6388"/>
      </right>
      <top style="thin">
        <color rgb="FF3E6388"/>
      </top>
      <bottom style="thin">
        <color rgb="FF3E6388"/>
      </bottom>
      <diagonal/>
    </border>
    <border>
      <left style="thin">
        <color rgb="FF3E6388"/>
      </left>
      <right/>
      <top style="thin">
        <color rgb="FF3E6388"/>
      </top>
      <bottom style="thin">
        <color rgb="FF3E6388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3" borderId="0" applyNumberFormat="0" applyBorder="0" applyAlignment="0" applyProtection="0"/>
  </cellStyleXfs>
  <cellXfs count="37">
    <xf numFmtId="0" fontId="0" fillId="0" borderId="0" xfId="0"/>
    <xf numFmtId="0" fontId="0" fillId="2" borderId="0" xfId="0" applyFill="1"/>
    <xf numFmtId="0" fontId="0" fillId="0" borderId="0" xfId="0" applyBorder="1"/>
    <xf numFmtId="0" fontId="4" fillId="0" borderId="0" xfId="0" applyFont="1" applyBorder="1"/>
    <xf numFmtId="0" fontId="0" fillId="4" borderId="0" xfId="0" applyFill="1" applyBorder="1"/>
    <xf numFmtId="0" fontId="5" fillId="0" borderId="0" xfId="0" applyFont="1" applyBorder="1"/>
    <xf numFmtId="0" fontId="7" fillId="0" borderId="1" xfId="0" applyFont="1" applyBorder="1" applyAlignment="1">
      <alignment horizontal="right" indent="1"/>
    </xf>
    <xf numFmtId="0" fontId="6" fillId="4" borderId="0" xfId="0" applyFont="1" applyFill="1" applyBorder="1" applyAlignment="1">
      <alignment horizontal="left" indent="1"/>
    </xf>
    <xf numFmtId="0" fontId="8" fillId="0" borderId="0" xfId="0" applyFont="1"/>
    <xf numFmtId="0" fontId="9" fillId="0" borderId="0" xfId="0" applyFont="1" applyBorder="1"/>
    <xf numFmtId="0" fontId="2" fillId="3" borderId="2" xfId="2" applyBorder="1" applyAlignment="1" applyProtection="1">
      <alignment horizontal="left" indent="1"/>
      <protection locked="0"/>
    </xf>
    <xf numFmtId="164" fontId="2" fillId="3" borderId="2" xfId="2" applyNumberFormat="1" applyBorder="1" applyAlignment="1" applyProtection="1">
      <alignment horizontal="left" indent="1"/>
      <protection locked="0"/>
    </xf>
    <xf numFmtId="14" fontId="2" fillId="3" borderId="2" xfId="2" applyNumberFormat="1" applyBorder="1" applyAlignment="1" applyProtection="1">
      <alignment horizontal="left" indent="1"/>
      <protection locked="0"/>
    </xf>
    <xf numFmtId="165" fontId="2" fillId="3" borderId="2" xfId="2" applyNumberFormat="1" applyBorder="1" applyAlignment="1" applyProtection="1">
      <alignment horizontal="left" indent="1"/>
      <protection locked="0"/>
    </xf>
    <xf numFmtId="166" fontId="2" fillId="3" borderId="2" xfId="2" applyNumberFormat="1" applyBorder="1" applyAlignment="1" applyProtection="1">
      <alignment horizontal="left" indent="1"/>
      <protection locked="0"/>
    </xf>
    <xf numFmtId="168" fontId="2" fillId="3" borderId="2" xfId="2" applyNumberFormat="1" applyBorder="1" applyAlignment="1" applyProtection="1">
      <alignment horizontal="left" indent="1"/>
      <protection locked="0"/>
    </xf>
    <xf numFmtId="167" fontId="2" fillId="3" borderId="2" xfId="2" applyNumberFormat="1" applyBorder="1" applyAlignment="1" applyProtection="1">
      <alignment horizontal="left" indent="1"/>
      <protection locked="0"/>
    </xf>
    <xf numFmtId="169" fontId="2" fillId="3" borderId="2" xfId="1" applyNumberFormat="1" applyFont="1" applyFill="1" applyBorder="1" applyAlignment="1" applyProtection="1">
      <alignment horizontal="left" indent="1"/>
      <protection locked="0"/>
    </xf>
    <xf numFmtId="170" fontId="3" fillId="0" borderId="0" xfId="0" applyNumberFormat="1" applyFont="1" applyBorder="1" applyAlignment="1" applyProtection="1">
      <alignment horizontal="center"/>
      <protection locked="0"/>
    </xf>
    <xf numFmtId="0" fontId="3" fillId="0" borderId="0" xfId="0" applyFont="1" applyBorder="1" applyAlignment="1" applyProtection="1">
      <alignment horizontal="center"/>
      <protection locked="0"/>
    </xf>
    <xf numFmtId="169" fontId="13" fillId="0" borderId="0" xfId="0" applyNumberFormat="1" applyFont="1" applyBorder="1" applyAlignment="1" applyProtection="1">
      <alignment horizontal="right" indent="1"/>
      <protection locked="0"/>
    </xf>
    <xf numFmtId="0" fontId="14" fillId="0" borderId="1" xfId="0" applyFont="1" applyBorder="1" applyAlignment="1">
      <alignment horizontal="right" indent="1"/>
    </xf>
    <xf numFmtId="0" fontId="7" fillId="0" borderId="1" xfId="0" applyFont="1" applyBorder="1" applyAlignment="1" applyProtection="1">
      <alignment horizontal="right" indent="1"/>
    </xf>
    <xf numFmtId="0" fontId="2" fillId="3" borderId="0" xfId="2" applyAlignment="1" applyProtection="1">
      <alignment horizontal="left" indent="1"/>
      <protection locked="0"/>
    </xf>
    <xf numFmtId="0" fontId="9" fillId="6" borderId="0" xfId="0" applyFont="1" applyFill="1" applyAlignment="1" applyProtection="1">
      <alignment horizontal="center"/>
      <protection locked="0"/>
    </xf>
    <xf numFmtId="0" fontId="12" fillId="6" borderId="0" xfId="0" applyFont="1" applyFill="1" applyBorder="1" applyAlignment="1" applyProtection="1">
      <alignment horizontal="center"/>
      <protection locked="0"/>
    </xf>
    <xf numFmtId="0" fontId="12" fillId="6" borderId="0" xfId="0" applyFont="1" applyFill="1" applyAlignment="1" applyProtection="1">
      <alignment horizontal="center"/>
      <protection locked="0"/>
    </xf>
    <xf numFmtId="14" fontId="3" fillId="0" borderId="0" xfId="0" applyNumberFormat="1" applyFont="1" applyBorder="1" applyAlignment="1" applyProtection="1">
      <alignment horizontal="right" indent="1"/>
      <protection locked="0"/>
    </xf>
    <xf numFmtId="0" fontId="3" fillId="0" borderId="0" xfId="0" applyFont="1" applyAlignment="1" applyProtection="1">
      <alignment horizontal="center"/>
      <protection locked="0"/>
    </xf>
    <xf numFmtId="169" fontId="13" fillId="0" borderId="0" xfId="0" applyNumberFormat="1" applyFont="1" applyProtection="1">
      <protection locked="0"/>
    </xf>
    <xf numFmtId="0" fontId="3" fillId="0" borderId="0" xfId="0" applyFont="1" applyProtection="1">
      <protection locked="0"/>
    </xf>
    <xf numFmtId="0" fontId="13" fillId="0" borderId="0" xfId="0" applyFont="1" applyAlignment="1" applyProtection="1">
      <alignment horizontal="center"/>
      <protection locked="0"/>
    </xf>
    <xf numFmtId="14" fontId="3" fillId="0" borderId="0" xfId="0" applyNumberFormat="1" applyFont="1" applyAlignment="1" applyProtection="1">
      <alignment horizontal="right" indent="1"/>
      <protection locked="0"/>
    </xf>
    <xf numFmtId="169" fontId="10" fillId="3" borderId="0" xfId="2" applyNumberFormat="1" applyFont="1" applyAlignment="1">
      <alignment horizontal="center"/>
    </xf>
    <xf numFmtId="0" fontId="10" fillId="3" borderId="0" xfId="2" applyFont="1" applyAlignment="1">
      <alignment horizontal="center"/>
    </xf>
    <xf numFmtId="0" fontId="11" fillId="5" borderId="0" xfId="0" applyFont="1" applyFill="1" applyAlignment="1">
      <alignment horizontal="center"/>
    </xf>
    <xf numFmtId="169" fontId="11" fillId="5" borderId="0" xfId="0" applyNumberFormat="1" applyFont="1" applyFill="1" applyAlignment="1">
      <alignment horizontal="center"/>
    </xf>
  </cellXfs>
  <cellStyles count="3">
    <cellStyle name="Moeda" xfId="1" builtinId="4"/>
    <cellStyle name="Neutro" xfId="2" builtinId="28"/>
    <cellStyle name="Normal" xfId="0" builtinId="0"/>
  </cellStyles>
  <dxfs count="13"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protection locked="0" hidden="0"/>
    </dxf>
    <dxf>
      <font>
        <b/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169" formatCode="&quot;R$&quot;\ #,##0.0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19" formatCode="dd/mm/yyyy"/>
      <alignment horizontal="right" vertical="bottom" textRotation="0" wrapText="0" indent="1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protection locked="0" hidden="0"/>
    </dxf>
    <dxf>
      <font>
        <b val="0"/>
        <i val="0"/>
        <strike val="0"/>
        <outline val="0"/>
        <shadow val="0"/>
        <u val="none"/>
        <vertAlign val="baseline"/>
        <sz val="8"/>
        <color rgb="FF1F5F99"/>
        <name val="Montserrat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169" formatCode="&quot;R$&quot;\ #,##0.00"/>
      <alignment horizontal="right" vertical="bottom" textRotation="0" wrapText="0" relativeIndent="1" justifyLastLine="0" shrinkToFit="0" readingOrder="0"/>
      <protection locked="0" hidden="0"/>
    </dxf>
    <dxf>
      <font>
        <b val="0"/>
        <strike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170" formatCode="[$-416]mmmm\-yy;@"/>
      <alignment horizontal="center" vertical="bottom" textRotation="0" wrapText="0" indent="0" justifyLastLine="0" shrinkToFit="0" readingOrder="0"/>
      <protection locked="0" hidden="0"/>
    </dxf>
    <dxf>
      <font>
        <b val="0"/>
        <strike val="0"/>
        <outline val="0"/>
        <shadow val="0"/>
        <u val="none"/>
        <vertAlign val="baseline"/>
        <sz val="8"/>
        <color theme="1"/>
        <name val="Montserrat"/>
        <scheme val="none"/>
      </font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1F5F99"/>
        <name val="Montserrat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protection locked="0" hidden="0"/>
    </dxf>
  </dxfs>
  <tableStyles count="0" defaultTableStyle="TableStyleMedium2" defaultPivotStyle="PivotStyleLight16"/>
  <colors>
    <mruColors>
      <color rgb="FF1F5F99"/>
      <color rgb="FF1B2633"/>
      <color rgb="FF3E6388"/>
      <color rgb="FF0E1317"/>
      <color rgb="FF6FB7E8"/>
      <color rgb="FF4D8FC7"/>
      <color rgb="FF35C7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D11"/><Relationship Id="rId7" Type="http://schemas.openxmlformats.org/officeDocument/2006/relationships/hyperlink" Target="#BENS!C9"/><Relationship Id="rId2" Type="http://schemas.openxmlformats.org/officeDocument/2006/relationships/hyperlink" Target="#TITULAR!D7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luciovaleanalytics" TargetMode="External"/><Relationship Id="rId4" Type="http://schemas.openxmlformats.org/officeDocument/2006/relationships/hyperlink" Target="#NOTAS!C9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D11"/><Relationship Id="rId7" Type="http://schemas.openxmlformats.org/officeDocument/2006/relationships/hyperlink" Target="#BENS!C9"/><Relationship Id="rId2" Type="http://schemas.openxmlformats.org/officeDocument/2006/relationships/hyperlink" Target="#TITULAR!D7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luciovaleanalytics" TargetMode="External"/><Relationship Id="rId4" Type="http://schemas.openxmlformats.org/officeDocument/2006/relationships/hyperlink" Target="#NOTAS!C9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D11"/><Relationship Id="rId7" Type="http://schemas.openxmlformats.org/officeDocument/2006/relationships/hyperlink" Target="#BENS!C9"/><Relationship Id="rId2" Type="http://schemas.openxmlformats.org/officeDocument/2006/relationships/hyperlink" Target="#TITULAR!D7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luciovaleanalytics" TargetMode="External"/><Relationship Id="rId4" Type="http://schemas.openxmlformats.org/officeDocument/2006/relationships/hyperlink" Target="#NOTAS!C9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INFORMES!D11"/><Relationship Id="rId7" Type="http://schemas.openxmlformats.org/officeDocument/2006/relationships/hyperlink" Target="#BENS!C9"/><Relationship Id="rId2" Type="http://schemas.openxmlformats.org/officeDocument/2006/relationships/hyperlink" Target="#TITULAR!D7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luciovaleanalytics" TargetMode="External"/><Relationship Id="rId4" Type="http://schemas.openxmlformats.org/officeDocument/2006/relationships/hyperlink" Target="#NOTAS!C9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313412</xdr:colOff>
      <xdr:row>3</xdr:row>
      <xdr:rowOff>38101</xdr:rowOff>
    </xdr:from>
    <xdr:to>
      <xdr:col>0</xdr:col>
      <xdr:colOff>1496336</xdr:colOff>
      <xdr:row>9</xdr:row>
      <xdr:rowOff>85725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8D80053-D179-FD31-1D38-39702A319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412" y="609601"/>
          <a:ext cx="1182924" cy="1333499"/>
        </a:xfrm>
        <a:prstGeom prst="rect">
          <a:avLst/>
        </a:prstGeom>
        <a:effectLst>
          <a:glow>
            <a:schemeClr val="accent1"/>
          </a:glow>
        </a:effectLst>
      </xdr:spPr>
    </xdr:pic>
    <xdr:clientData/>
  </xdr:twoCellAnchor>
  <xdr:twoCellAnchor>
    <xdr:from>
      <xdr:col>0</xdr:col>
      <xdr:colOff>161924</xdr:colOff>
      <xdr:row>0</xdr:row>
      <xdr:rowOff>171450</xdr:rowOff>
    </xdr:from>
    <xdr:to>
      <xdr:col>0</xdr:col>
      <xdr:colOff>1647825</xdr:colOff>
      <xdr:row>3</xdr:row>
      <xdr:rowOff>28575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65378E5E-3ECC-B8F6-8C72-9E0233BB540F}"/>
            </a:ext>
          </a:extLst>
        </xdr:cNvPr>
        <xdr:cNvSpPr/>
      </xdr:nvSpPr>
      <xdr:spPr>
        <a:xfrm>
          <a:off x="161924" y="171450"/>
          <a:ext cx="1485901" cy="4286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47000">
                    <a:srgbClr val="6894BC"/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100000">
                    <a:srgbClr val="4D8FC7"/>
                  </a:gs>
                </a:gsLst>
                <a:lin ang="5400000" scaled="0"/>
              </a:gradFill>
              <a:latin typeface="Montserrat" pitchFamily="2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161925</xdr:colOff>
      <xdr:row>9</xdr:row>
      <xdr:rowOff>106157</xdr:rowOff>
    </xdr:from>
    <xdr:to>
      <xdr:col>0</xdr:col>
      <xdr:colOff>1638300</xdr:colOff>
      <xdr:row>11</xdr:row>
      <xdr:rowOff>36717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DB595D-1BA3-3C14-0118-DD3E6C0FB5B6}"/>
            </a:ext>
          </a:extLst>
        </xdr:cNvPr>
        <xdr:cNvSpPr/>
      </xdr:nvSpPr>
      <xdr:spPr>
        <a:xfrm>
          <a:off x="161925" y="1963532"/>
          <a:ext cx="1476375" cy="349660"/>
        </a:xfrm>
        <a:prstGeom prst="roundRect">
          <a:avLst>
            <a:gd name="adj" fmla="val 50000"/>
          </a:avLst>
        </a:prstGeom>
        <a:gradFill>
          <a:gsLst>
            <a:gs pos="0">
              <a:srgbClr val="4D8FC7"/>
            </a:gs>
            <a:gs pos="100000">
              <a:srgbClr val="3E6388"/>
            </a:gs>
          </a:gsLst>
          <a:lin ang="5400000" scaled="0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noAutofit/>
        </a:bodyPr>
        <a:lstStyle/>
        <a:p>
          <a:pPr algn="ctr"/>
          <a:r>
            <a:rPr lang="pt-BR" sz="1000" b="1" baseline="0">
              <a:solidFill>
                <a:schemeClr val="bg1"/>
              </a:solidFill>
              <a:latin typeface="Montserrat" pitchFamily="2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171450</xdr:colOff>
      <xdr:row>11</xdr:row>
      <xdr:rowOff>176007</xdr:rowOff>
    </xdr:from>
    <xdr:to>
      <xdr:col>0</xdr:col>
      <xdr:colOff>1647825</xdr:colOff>
      <xdr:row>13</xdr:row>
      <xdr:rowOff>106567</xdr:rowOff>
    </xdr:to>
    <xdr:sp macro="" textlink="">
      <xdr:nvSpPr>
        <xdr:cNvPr id="2" name="Retângulo: Cantos Arredondados 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41F0C7E-B50E-4C74-B415-6CD56BE4199C}"/>
            </a:ext>
          </a:extLst>
        </xdr:cNvPr>
        <xdr:cNvSpPr/>
      </xdr:nvSpPr>
      <xdr:spPr>
        <a:xfrm>
          <a:off x="171450" y="2452482"/>
          <a:ext cx="1476375" cy="349660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noAutofit/>
        </a:bodyPr>
        <a:lstStyle/>
        <a:p>
          <a:pPr algn="ctr"/>
          <a:r>
            <a:rPr lang="pt-BR" sz="1000" b="1" baseline="0">
              <a:solidFill>
                <a:schemeClr val="bg1"/>
              </a:solidFill>
              <a:latin typeface="Montserrat" pitchFamily="2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180975</xdr:colOff>
      <xdr:row>14</xdr:row>
      <xdr:rowOff>36307</xdr:rowOff>
    </xdr:from>
    <xdr:to>
      <xdr:col>0</xdr:col>
      <xdr:colOff>1657350</xdr:colOff>
      <xdr:row>15</xdr:row>
      <xdr:rowOff>176417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1229FD3-B028-4D5D-901B-D50730C18FFB}"/>
            </a:ext>
          </a:extLst>
        </xdr:cNvPr>
        <xdr:cNvSpPr/>
      </xdr:nvSpPr>
      <xdr:spPr>
        <a:xfrm>
          <a:off x="180975" y="2941432"/>
          <a:ext cx="1476375" cy="349660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noAutofit/>
        </a:bodyPr>
        <a:lstStyle/>
        <a:p>
          <a:pPr algn="ctr"/>
          <a:r>
            <a:rPr lang="pt-BR" sz="1000" b="1" baseline="0">
              <a:solidFill>
                <a:schemeClr val="bg1"/>
              </a:solidFill>
              <a:latin typeface="Montserrat" pitchFamily="2" charset="0"/>
            </a:rPr>
            <a:t>NOTAS</a:t>
          </a:r>
        </a:p>
      </xdr:txBody>
    </xdr:sp>
    <xdr:clientData/>
  </xdr:twoCellAnchor>
  <xdr:twoCellAnchor editAs="absolute">
    <xdr:from>
      <xdr:col>0</xdr:col>
      <xdr:colOff>152400</xdr:colOff>
      <xdr:row>19</xdr:row>
      <xdr:rowOff>38100</xdr:rowOff>
    </xdr:from>
    <xdr:to>
      <xdr:col>0</xdr:col>
      <xdr:colOff>1657350</xdr:colOff>
      <xdr:row>23</xdr:row>
      <xdr:rowOff>133350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17F0A9AB-9C5F-D507-BC06-E4A3F2352CCC}"/>
            </a:ext>
          </a:extLst>
        </xdr:cNvPr>
        <xdr:cNvSpPr/>
      </xdr:nvSpPr>
      <xdr:spPr>
        <a:xfrm>
          <a:off x="152400" y="3990975"/>
          <a:ext cx="1504950" cy="876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1100" b="1" baseline="0">
            <a:gradFill>
              <a:gsLst>
                <a:gs pos="0">
                  <a:schemeClr val="bg1"/>
                </a:gs>
                <a:gs pos="100000">
                  <a:srgbClr val="4D8FC7"/>
                </a:gs>
              </a:gsLst>
              <a:lin ang="5400000" scaled="0"/>
            </a:gradFill>
          </a:endParaRPr>
        </a:p>
        <a:p>
          <a:pPr algn="ctr"/>
          <a:endParaRPr lang="pt-BR" sz="1100" b="1" baseline="0">
            <a:gradFill>
              <a:gsLst>
                <a:gs pos="0">
                  <a:schemeClr val="bg1"/>
                </a:gs>
                <a:gs pos="100000">
                  <a:srgbClr val="4D8FC7"/>
                </a:gs>
              </a:gsLst>
              <a:lin ang="5400000" scaled="0"/>
            </a:gradFill>
          </a:endParaRPr>
        </a:p>
        <a:p>
          <a:pPr algn="ctr"/>
          <a:r>
            <a:rPr lang="pt-BR" sz="1100" b="1" baseline="0">
              <a:gradFill>
                <a:gsLst>
                  <a:gs pos="0">
                    <a:schemeClr val="bg1"/>
                  </a:gs>
                  <a:gs pos="100000">
                    <a:srgbClr val="4D8FC7"/>
                  </a:gs>
                </a:gsLst>
                <a:lin ang="5400000" scaled="0"/>
              </a:gradFill>
            </a:rPr>
            <a:t>SYSTEM by VA 📶</a:t>
          </a:r>
          <a:endParaRPr lang="pt-BR" sz="1100">
            <a:gradFill>
              <a:gsLst>
                <a:gs pos="0">
                  <a:schemeClr val="bg1"/>
                </a:gs>
                <a:gs pos="100000">
                  <a:srgbClr val="4D8FC7"/>
                </a:gs>
              </a:gsLst>
              <a:lin ang="5400000" scaled="0"/>
            </a:gradFill>
          </a:endParaRPr>
        </a:p>
      </xdr:txBody>
    </xdr:sp>
    <xdr:clientData/>
  </xdr:twoCellAnchor>
  <xdr:twoCellAnchor editAs="absolute">
    <xdr:from>
      <xdr:col>0</xdr:col>
      <xdr:colOff>295275</xdr:colOff>
      <xdr:row>20</xdr:row>
      <xdr:rowOff>161925</xdr:rowOff>
    </xdr:from>
    <xdr:to>
      <xdr:col>0</xdr:col>
      <xdr:colOff>1504950</xdr:colOff>
      <xdr:row>20</xdr:row>
      <xdr:rowOff>161925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7C748AC1-9C48-818C-515D-B64C91E9A06C}"/>
            </a:ext>
          </a:extLst>
        </xdr:cNvPr>
        <xdr:cNvCxnSpPr/>
      </xdr:nvCxnSpPr>
      <xdr:spPr>
        <a:xfrm>
          <a:off x="295275" y="4324350"/>
          <a:ext cx="120967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688975</xdr:colOff>
      <xdr:row>23</xdr:row>
      <xdr:rowOff>152400</xdr:rowOff>
    </xdr:from>
    <xdr:to>
      <xdr:col>0</xdr:col>
      <xdr:colOff>1044911</xdr:colOff>
      <xdr:row>25</xdr:row>
      <xdr:rowOff>127812</xdr:rowOff>
    </xdr:to>
    <xdr:pic>
      <xdr:nvPicPr>
        <xdr:cNvPr id="12" name="icon_link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F744AE4-F325-D01D-8BA2-F2E1CCEA1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975" y="4886325"/>
          <a:ext cx="355936" cy="356412"/>
        </a:xfrm>
        <a:prstGeom prst="rect">
          <a:avLst/>
        </a:prstGeom>
      </xdr:spPr>
    </xdr:pic>
    <xdr:clientData/>
  </xdr:twoCellAnchor>
  <xdr:twoCellAnchor>
    <xdr:from>
      <xdr:col>1</xdr:col>
      <xdr:colOff>600075</xdr:colOff>
      <xdr:row>3</xdr:row>
      <xdr:rowOff>247650</xdr:rowOff>
    </xdr:from>
    <xdr:to>
      <xdr:col>4</xdr:col>
      <xdr:colOff>9525</xdr:colOff>
      <xdr:row>3</xdr:row>
      <xdr:rowOff>247650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6CC96D03-A1B5-C958-E1A8-91CC619EF9CB}"/>
            </a:ext>
          </a:extLst>
        </xdr:cNvPr>
        <xdr:cNvCxnSpPr/>
      </xdr:nvCxnSpPr>
      <xdr:spPr>
        <a:xfrm>
          <a:off x="2419350" y="819150"/>
          <a:ext cx="4705350" cy="0"/>
        </a:xfrm>
        <a:prstGeom prst="line">
          <a:avLst/>
        </a:prstGeom>
        <a:ln/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1200151</xdr:colOff>
      <xdr:row>2</xdr:row>
      <xdr:rowOff>76200</xdr:rowOff>
    </xdr:from>
    <xdr:to>
      <xdr:col>3</xdr:col>
      <xdr:colOff>2324101</xdr:colOff>
      <xdr:row>3</xdr:row>
      <xdr:rowOff>180975</xdr:rowOff>
    </xdr:to>
    <xdr:sp macro="" textlink="">
      <xdr:nvSpPr>
        <xdr:cNvPr id="19" name="Retângulo: Cantos Arredondados 1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45656C-8449-FAFC-16C7-611D24DAFF49}"/>
            </a:ext>
          </a:extLst>
        </xdr:cNvPr>
        <xdr:cNvSpPr/>
      </xdr:nvSpPr>
      <xdr:spPr>
        <a:xfrm>
          <a:off x="6010276" y="457200"/>
          <a:ext cx="1123950" cy="295275"/>
        </a:xfrm>
        <a:prstGeom prst="roundRect">
          <a:avLst>
            <a:gd name="adj" fmla="val 50000"/>
          </a:avLst>
        </a:prstGeom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 b="1">
              <a:solidFill>
                <a:schemeClr val="bg1"/>
              </a:solidFill>
              <a:latin typeface="Montserrat" pitchFamily="2" charset="0"/>
            </a:rPr>
            <a:t>PRÓXIMO</a:t>
          </a:r>
        </a:p>
      </xdr:txBody>
    </xdr:sp>
    <xdr:clientData/>
  </xdr:twoCellAnchor>
  <xdr:twoCellAnchor editAs="absolute">
    <xdr:from>
      <xdr:col>0</xdr:col>
      <xdr:colOff>180975</xdr:colOff>
      <xdr:row>16</xdr:row>
      <xdr:rowOff>106157</xdr:rowOff>
    </xdr:from>
    <xdr:to>
      <xdr:col>0</xdr:col>
      <xdr:colOff>1657350</xdr:colOff>
      <xdr:row>18</xdr:row>
      <xdr:rowOff>36717</xdr:rowOff>
    </xdr:to>
    <xdr:sp macro="" textlink="">
      <xdr:nvSpPr>
        <xdr:cNvPr id="9" name="Retângulo: Cantos Arredondado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4C6C6C0-D6C3-4F87-A282-10873EE5B1F3}"/>
            </a:ext>
          </a:extLst>
        </xdr:cNvPr>
        <xdr:cNvSpPr/>
      </xdr:nvSpPr>
      <xdr:spPr>
        <a:xfrm>
          <a:off x="180975" y="3430382"/>
          <a:ext cx="1476375" cy="349660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noAutofit/>
        </a:bodyPr>
        <a:lstStyle/>
        <a:p>
          <a:pPr algn="ctr"/>
          <a:r>
            <a:rPr lang="pt-BR" sz="1000" b="1" baseline="0">
              <a:solidFill>
                <a:schemeClr val="bg1"/>
              </a:solidFill>
              <a:latin typeface="Montserrat" pitchFamily="2" charset="0"/>
            </a:rPr>
            <a:t>BENS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313412</xdr:colOff>
      <xdr:row>3</xdr:row>
      <xdr:rowOff>38101</xdr:rowOff>
    </xdr:from>
    <xdr:to>
      <xdr:col>0</xdr:col>
      <xdr:colOff>1496336</xdr:colOff>
      <xdr:row>9</xdr:row>
      <xdr:rowOff>47625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5006B41-5867-4968-AFD6-179FE40393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412" y="609601"/>
          <a:ext cx="1182924" cy="1333499"/>
        </a:xfrm>
        <a:prstGeom prst="rect">
          <a:avLst/>
        </a:prstGeom>
        <a:effectLst>
          <a:glow>
            <a:schemeClr val="accent1"/>
          </a:glow>
        </a:effectLst>
      </xdr:spPr>
    </xdr:pic>
    <xdr:clientData/>
  </xdr:twoCellAnchor>
  <xdr:twoCellAnchor>
    <xdr:from>
      <xdr:col>0</xdr:col>
      <xdr:colOff>161924</xdr:colOff>
      <xdr:row>0</xdr:row>
      <xdr:rowOff>171450</xdr:rowOff>
    </xdr:from>
    <xdr:to>
      <xdr:col>0</xdr:col>
      <xdr:colOff>1647825</xdr:colOff>
      <xdr:row>3</xdr:row>
      <xdr:rowOff>28575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D4A599DD-BD7D-42F3-8C51-7FFE5D731982}"/>
            </a:ext>
          </a:extLst>
        </xdr:cNvPr>
        <xdr:cNvSpPr/>
      </xdr:nvSpPr>
      <xdr:spPr>
        <a:xfrm>
          <a:off x="161924" y="171450"/>
          <a:ext cx="1485901" cy="4286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47000">
                    <a:srgbClr val="6894BC"/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100000">
                    <a:srgbClr val="4D8FC7"/>
                  </a:gs>
                </a:gsLst>
                <a:lin ang="5400000" scaled="0"/>
              </a:gradFill>
              <a:latin typeface="Montserrat" pitchFamily="2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161925</xdr:colOff>
      <xdr:row>9</xdr:row>
      <xdr:rowOff>68057</xdr:rowOff>
    </xdr:from>
    <xdr:to>
      <xdr:col>0</xdr:col>
      <xdr:colOff>1638300</xdr:colOff>
      <xdr:row>10</xdr:row>
      <xdr:rowOff>208167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57440B4-E857-4DF7-A8DD-D34CF53225D9}"/>
            </a:ext>
          </a:extLst>
        </xdr:cNvPr>
        <xdr:cNvSpPr/>
      </xdr:nvSpPr>
      <xdr:spPr>
        <a:xfrm>
          <a:off x="161925" y="1963532"/>
          <a:ext cx="1476375" cy="349660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noAutofit/>
        </a:bodyPr>
        <a:lstStyle/>
        <a:p>
          <a:pPr algn="ctr"/>
          <a:r>
            <a:rPr lang="pt-BR" sz="1000" b="1" baseline="0">
              <a:solidFill>
                <a:schemeClr val="bg1"/>
              </a:solidFill>
              <a:latin typeface="Montserrat" pitchFamily="2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171450</xdr:colOff>
      <xdr:row>11</xdr:row>
      <xdr:rowOff>137907</xdr:rowOff>
    </xdr:from>
    <xdr:to>
      <xdr:col>0</xdr:col>
      <xdr:colOff>1647825</xdr:colOff>
      <xdr:row>13</xdr:row>
      <xdr:rowOff>68467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D7A68AD-6229-4D6F-A635-A648351D94BE}"/>
            </a:ext>
          </a:extLst>
        </xdr:cNvPr>
        <xdr:cNvSpPr/>
      </xdr:nvSpPr>
      <xdr:spPr>
        <a:xfrm>
          <a:off x="171450" y="2452482"/>
          <a:ext cx="1476375" cy="349660"/>
        </a:xfrm>
        <a:prstGeom prst="roundRect">
          <a:avLst>
            <a:gd name="adj" fmla="val 50000"/>
          </a:avLst>
        </a:prstGeom>
        <a:gradFill>
          <a:gsLst>
            <a:gs pos="0">
              <a:srgbClr val="4D8FC7"/>
            </a:gs>
            <a:gs pos="100000">
              <a:srgbClr val="3E6388"/>
            </a:gs>
          </a:gsLst>
          <a:lin ang="5400000" scaled="0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noAutofit/>
        </a:bodyPr>
        <a:lstStyle/>
        <a:p>
          <a:pPr algn="ctr"/>
          <a:r>
            <a:rPr lang="pt-BR" sz="1000" b="1" baseline="0">
              <a:solidFill>
                <a:schemeClr val="bg1"/>
              </a:solidFill>
              <a:latin typeface="Montserrat" pitchFamily="2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180975</xdr:colOff>
      <xdr:row>14</xdr:row>
      <xdr:rowOff>17257</xdr:rowOff>
    </xdr:from>
    <xdr:to>
      <xdr:col>0</xdr:col>
      <xdr:colOff>1657350</xdr:colOff>
      <xdr:row>15</xdr:row>
      <xdr:rowOff>157367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9EB18F1-F2CF-4BDF-9E1E-D1349217171D}"/>
            </a:ext>
          </a:extLst>
        </xdr:cNvPr>
        <xdr:cNvSpPr/>
      </xdr:nvSpPr>
      <xdr:spPr>
        <a:xfrm>
          <a:off x="180975" y="2941432"/>
          <a:ext cx="1476375" cy="349660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noAutofit/>
        </a:bodyPr>
        <a:lstStyle/>
        <a:p>
          <a:pPr algn="ctr"/>
          <a:r>
            <a:rPr lang="pt-BR" sz="1000" b="1" baseline="0">
              <a:solidFill>
                <a:schemeClr val="bg1"/>
              </a:solidFill>
              <a:latin typeface="Montserrat" pitchFamily="2" charset="0"/>
            </a:rPr>
            <a:t>NOTAS</a:t>
          </a:r>
        </a:p>
      </xdr:txBody>
    </xdr:sp>
    <xdr:clientData/>
  </xdr:twoCellAnchor>
  <xdr:twoCellAnchor editAs="absolute">
    <xdr:from>
      <xdr:col>0</xdr:col>
      <xdr:colOff>152400</xdr:colOff>
      <xdr:row>19</xdr:row>
      <xdr:rowOff>38100</xdr:rowOff>
    </xdr:from>
    <xdr:to>
      <xdr:col>0</xdr:col>
      <xdr:colOff>1657350</xdr:colOff>
      <xdr:row>23</xdr:row>
      <xdr:rowOff>76200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FDBF4DC9-0489-4B1A-82D8-5278F3C958C5}"/>
            </a:ext>
          </a:extLst>
        </xdr:cNvPr>
        <xdr:cNvSpPr/>
      </xdr:nvSpPr>
      <xdr:spPr>
        <a:xfrm>
          <a:off x="152400" y="3990975"/>
          <a:ext cx="1504950" cy="876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1100" b="1" baseline="0">
            <a:gradFill>
              <a:gsLst>
                <a:gs pos="0">
                  <a:schemeClr val="bg1"/>
                </a:gs>
                <a:gs pos="100000">
                  <a:srgbClr val="4D8FC7"/>
                </a:gs>
              </a:gsLst>
              <a:lin ang="5400000" scaled="0"/>
            </a:gradFill>
          </a:endParaRPr>
        </a:p>
        <a:p>
          <a:pPr algn="ctr"/>
          <a:endParaRPr lang="pt-BR" sz="1100" b="1" baseline="0">
            <a:gradFill>
              <a:gsLst>
                <a:gs pos="0">
                  <a:schemeClr val="bg1"/>
                </a:gs>
                <a:gs pos="100000">
                  <a:srgbClr val="4D8FC7"/>
                </a:gs>
              </a:gsLst>
              <a:lin ang="5400000" scaled="0"/>
            </a:gradFill>
          </a:endParaRPr>
        </a:p>
        <a:p>
          <a:pPr algn="ctr"/>
          <a:r>
            <a:rPr lang="pt-BR" sz="1100" b="1" baseline="0">
              <a:gradFill>
                <a:gsLst>
                  <a:gs pos="0">
                    <a:schemeClr val="bg1"/>
                  </a:gs>
                  <a:gs pos="100000">
                    <a:srgbClr val="4D8FC7"/>
                  </a:gs>
                </a:gsLst>
                <a:lin ang="5400000" scaled="0"/>
              </a:gradFill>
            </a:rPr>
            <a:t>SYSTEM by VA 📶</a:t>
          </a:r>
          <a:endParaRPr lang="pt-BR" sz="1100">
            <a:gradFill>
              <a:gsLst>
                <a:gs pos="0">
                  <a:schemeClr val="bg1"/>
                </a:gs>
                <a:gs pos="100000">
                  <a:srgbClr val="4D8FC7"/>
                </a:gs>
              </a:gsLst>
              <a:lin ang="5400000" scaled="0"/>
            </a:gradFill>
          </a:endParaRPr>
        </a:p>
      </xdr:txBody>
    </xdr:sp>
    <xdr:clientData/>
  </xdr:twoCellAnchor>
  <xdr:twoCellAnchor editAs="absolute">
    <xdr:from>
      <xdr:col>0</xdr:col>
      <xdr:colOff>295275</xdr:colOff>
      <xdr:row>20</xdr:row>
      <xdr:rowOff>161925</xdr:rowOff>
    </xdr:from>
    <xdr:to>
      <xdr:col>0</xdr:col>
      <xdr:colOff>1504950</xdr:colOff>
      <xdr:row>20</xdr:row>
      <xdr:rowOff>161925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A5FB27B8-1D86-4232-8146-398E0CEDA52B}"/>
            </a:ext>
          </a:extLst>
        </xdr:cNvPr>
        <xdr:cNvCxnSpPr/>
      </xdr:nvCxnSpPr>
      <xdr:spPr>
        <a:xfrm>
          <a:off x="295275" y="4324350"/>
          <a:ext cx="120967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688975</xdr:colOff>
      <xdr:row>23</xdr:row>
      <xdr:rowOff>95250</xdr:rowOff>
    </xdr:from>
    <xdr:to>
      <xdr:col>0</xdr:col>
      <xdr:colOff>1044911</xdr:colOff>
      <xdr:row>25</xdr:row>
      <xdr:rowOff>70662</xdr:rowOff>
    </xdr:to>
    <xdr:pic>
      <xdr:nvPicPr>
        <xdr:cNvPr id="9" name="icon_link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5658A6A-5342-4B5C-B11C-93BE53080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975" y="4886325"/>
          <a:ext cx="355936" cy="356412"/>
        </a:xfrm>
        <a:prstGeom prst="rect">
          <a:avLst/>
        </a:prstGeom>
      </xdr:spPr>
    </xdr:pic>
    <xdr:clientData/>
  </xdr:twoCellAnchor>
  <xdr:twoCellAnchor editAs="absolute">
    <xdr:from>
      <xdr:col>0</xdr:col>
      <xdr:colOff>180975</xdr:colOff>
      <xdr:row>16</xdr:row>
      <xdr:rowOff>87107</xdr:rowOff>
    </xdr:from>
    <xdr:to>
      <xdr:col>0</xdr:col>
      <xdr:colOff>1657350</xdr:colOff>
      <xdr:row>18</xdr:row>
      <xdr:rowOff>17667</xdr:rowOff>
    </xdr:to>
    <xdr:sp macro="" textlink="">
      <xdr:nvSpPr>
        <xdr:cNvPr id="12" name="Retângulo: Cantos Arredondados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AABF9B0-DFBA-4ACE-A68E-109E37D60C9A}"/>
            </a:ext>
          </a:extLst>
        </xdr:cNvPr>
        <xdr:cNvSpPr/>
      </xdr:nvSpPr>
      <xdr:spPr>
        <a:xfrm>
          <a:off x="180975" y="3430382"/>
          <a:ext cx="1476375" cy="349660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noAutofit/>
        </a:bodyPr>
        <a:lstStyle/>
        <a:p>
          <a:pPr algn="ctr"/>
          <a:r>
            <a:rPr lang="pt-BR" sz="1000" b="1" baseline="0">
              <a:solidFill>
                <a:schemeClr val="bg1"/>
              </a:solidFill>
              <a:latin typeface="Montserrat" pitchFamily="2" charset="0"/>
            </a:rPr>
            <a:t>BENS</a:t>
          </a:r>
        </a:p>
      </xdr:txBody>
    </xdr:sp>
    <xdr:clientData/>
  </xdr:twoCellAnchor>
  <xdr:twoCellAnchor>
    <xdr:from>
      <xdr:col>1</xdr:col>
      <xdr:colOff>600075</xdr:colOff>
      <xdr:row>3</xdr:row>
      <xdr:rowOff>247650</xdr:rowOff>
    </xdr:from>
    <xdr:to>
      <xdr:col>4</xdr:col>
      <xdr:colOff>9525</xdr:colOff>
      <xdr:row>3</xdr:row>
      <xdr:rowOff>247650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134F5703-9D35-414A-A42B-F8C638DA13D8}"/>
            </a:ext>
          </a:extLst>
        </xdr:cNvPr>
        <xdr:cNvCxnSpPr/>
      </xdr:nvCxnSpPr>
      <xdr:spPr>
        <a:xfrm>
          <a:off x="2419350" y="819150"/>
          <a:ext cx="4781550" cy="0"/>
        </a:xfrm>
        <a:prstGeom prst="line">
          <a:avLst/>
        </a:prstGeom>
        <a:ln/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0</xdr:colOff>
      <xdr:row>24</xdr:row>
      <xdr:rowOff>185738</xdr:rowOff>
    </xdr:from>
    <xdr:to>
      <xdr:col>3</xdr:col>
      <xdr:colOff>1123950</xdr:colOff>
      <xdr:row>26</xdr:row>
      <xdr:rowOff>100013</xdr:rowOff>
    </xdr:to>
    <xdr:sp macro="" textlink="">
      <xdr:nvSpPr>
        <xdr:cNvPr id="14" name="Retângulo: Cantos Arredondados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6054E03-A4CC-4A73-B5DC-C73B3229EE35}"/>
            </a:ext>
          </a:extLst>
        </xdr:cNvPr>
        <xdr:cNvSpPr/>
      </xdr:nvSpPr>
      <xdr:spPr>
        <a:xfrm>
          <a:off x="4810125" y="5167313"/>
          <a:ext cx="1123950" cy="295275"/>
        </a:xfrm>
        <a:prstGeom prst="roundRect">
          <a:avLst>
            <a:gd name="adj" fmla="val 50000"/>
          </a:avLst>
        </a:prstGeom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 b="1">
              <a:solidFill>
                <a:schemeClr val="bg1"/>
              </a:solidFill>
              <a:latin typeface="Montserrat" pitchFamily="2" charset="0"/>
            </a:rPr>
            <a:t>PRÓXIMO</a:t>
          </a:r>
        </a:p>
      </xdr:txBody>
    </xdr:sp>
    <xdr:clientData/>
  </xdr:twoCellAnchor>
  <xdr:twoCellAnchor editAs="absolute">
    <xdr:from>
      <xdr:col>2</xdr:col>
      <xdr:colOff>1228725</xdr:colOff>
      <xdr:row>24</xdr:row>
      <xdr:rowOff>185738</xdr:rowOff>
    </xdr:from>
    <xdr:to>
      <xdr:col>2</xdr:col>
      <xdr:colOff>2352675</xdr:colOff>
      <xdr:row>26</xdr:row>
      <xdr:rowOff>100013</xdr:rowOff>
    </xdr:to>
    <xdr:sp macro="" textlink="">
      <xdr:nvSpPr>
        <xdr:cNvPr id="15" name="Retângulo: Cantos Arredondados 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88A9566-B785-4E59-9939-272C62410FC7}"/>
            </a:ext>
          </a:extLst>
        </xdr:cNvPr>
        <xdr:cNvSpPr/>
      </xdr:nvSpPr>
      <xdr:spPr>
        <a:xfrm>
          <a:off x="3657600" y="5167313"/>
          <a:ext cx="1123950" cy="295275"/>
        </a:xfrm>
        <a:prstGeom prst="roundRect">
          <a:avLst>
            <a:gd name="adj" fmla="val 50000"/>
          </a:avLst>
        </a:prstGeom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 b="1">
              <a:solidFill>
                <a:schemeClr val="bg1"/>
              </a:solidFill>
              <a:latin typeface="Montserrat" pitchFamily="2" charset="0"/>
            </a:rPr>
            <a:t>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313412</xdr:colOff>
      <xdr:row>3</xdr:row>
      <xdr:rowOff>38101</xdr:rowOff>
    </xdr:from>
    <xdr:to>
      <xdr:col>0</xdr:col>
      <xdr:colOff>1496336</xdr:colOff>
      <xdr:row>9</xdr:row>
      <xdr:rowOff>38100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3D5C73F-392D-4C9F-B31F-5615C787F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412" y="609601"/>
          <a:ext cx="1182924" cy="1333499"/>
        </a:xfrm>
        <a:prstGeom prst="rect">
          <a:avLst/>
        </a:prstGeom>
        <a:effectLst>
          <a:glow>
            <a:schemeClr val="accent1"/>
          </a:glow>
        </a:effectLst>
      </xdr:spPr>
    </xdr:pic>
    <xdr:clientData/>
  </xdr:twoCellAnchor>
  <xdr:twoCellAnchor>
    <xdr:from>
      <xdr:col>0</xdr:col>
      <xdr:colOff>161924</xdr:colOff>
      <xdr:row>0</xdr:row>
      <xdr:rowOff>171450</xdr:rowOff>
    </xdr:from>
    <xdr:to>
      <xdr:col>0</xdr:col>
      <xdr:colOff>1647825</xdr:colOff>
      <xdr:row>3</xdr:row>
      <xdr:rowOff>28575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A7A9D2F-AAA2-401D-8C32-263344EE3748}"/>
            </a:ext>
          </a:extLst>
        </xdr:cNvPr>
        <xdr:cNvSpPr/>
      </xdr:nvSpPr>
      <xdr:spPr>
        <a:xfrm>
          <a:off x="161924" y="171450"/>
          <a:ext cx="1485901" cy="4286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47000">
                    <a:srgbClr val="6894BC"/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100000">
                    <a:srgbClr val="4D8FC7"/>
                  </a:gs>
                </a:gsLst>
                <a:lin ang="5400000" scaled="0"/>
              </a:gradFill>
              <a:latin typeface="Montserrat" pitchFamily="2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161925</xdr:colOff>
      <xdr:row>9</xdr:row>
      <xdr:rowOff>58532</xdr:rowOff>
    </xdr:from>
    <xdr:to>
      <xdr:col>0</xdr:col>
      <xdr:colOff>1638300</xdr:colOff>
      <xdr:row>10</xdr:row>
      <xdr:rowOff>198642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A66CCC6-EC8B-441D-9202-7C2515126F47}"/>
            </a:ext>
          </a:extLst>
        </xdr:cNvPr>
        <xdr:cNvSpPr/>
      </xdr:nvSpPr>
      <xdr:spPr>
        <a:xfrm>
          <a:off x="161925" y="1963532"/>
          <a:ext cx="1476375" cy="349660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noAutofit/>
        </a:bodyPr>
        <a:lstStyle/>
        <a:p>
          <a:pPr algn="ctr"/>
          <a:r>
            <a:rPr lang="pt-BR" sz="1000" b="1" baseline="0">
              <a:solidFill>
                <a:schemeClr val="bg1"/>
              </a:solidFill>
              <a:latin typeface="Montserrat" pitchFamily="2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171450</xdr:colOff>
      <xdr:row>11</xdr:row>
      <xdr:rowOff>128382</xdr:rowOff>
    </xdr:from>
    <xdr:to>
      <xdr:col>0</xdr:col>
      <xdr:colOff>1647825</xdr:colOff>
      <xdr:row>13</xdr:row>
      <xdr:rowOff>58942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81C3F31-4551-4E66-824A-5C6F2E021847}"/>
            </a:ext>
          </a:extLst>
        </xdr:cNvPr>
        <xdr:cNvSpPr/>
      </xdr:nvSpPr>
      <xdr:spPr>
        <a:xfrm>
          <a:off x="171450" y="2452482"/>
          <a:ext cx="1476375" cy="349660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noAutofit/>
        </a:bodyPr>
        <a:lstStyle/>
        <a:p>
          <a:pPr algn="ctr"/>
          <a:r>
            <a:rPr lang="pt-BR" sz="1000" b="1" baseline="0">
              <a:solidFill>
                <a:schemeClr val="bg1"/>
              </a:solidFill>
              <a:latin typeface="Montserrat" pitchFamily="2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180975</xdr:colOff>
      <xdr:row>13</xdr:row>
      <xdr:rowOff>198232</xdr:rowOff>
    </xdr:from>
    <xdr:to>
      <xdr:col>0</xdr:col>
      <xdr:colOff>1657350</xdr:colOff>
      <xdr:row>15</xdr:row>
      <xdr:rowOff>128792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941C472-CA05-47CE-8830-20F5DF8ED939}"/>
            </a:ext>
          </a:extLst>
        </xdr:cNvPr>
        <xdr:cNvSpPr/>
      </xdr:nvSpPr>
      <xdr:spPr>
        <a:xfrm>
          <a:off x="180975" y="2941432"/>
          <a:ext cx="1476375" cy="349660"/>
        </a:xfrm>
        <a:prstGeom prst="roundRect">
          <a:avLst>
            <a:gd name="adj" fmla="val 50000"/>
          </a:avLst>
        </a:prstGeom>
        <a:gradFill>
          <a:gsLst>
            <a:gs pos="0">
              <a:srgbClr val="4D8FC7"/>
            </a:gs>
            <a:gs pos="100000">
              <a:srgbClr val="3E6388"/>
            </a:gs>
          </a:gsLst>
          <a:lin ang="5400000" scaled="0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noAutofit/>
        </a:bodyPr>
        <a:lstStyle/>
        <a:p>
          <a:pPr algn="ctr"/>
          <a:r>
            <a:rPr lang="pt-BR" sz="1000" b="1" baseline="0">
              <a:solidFill>
                <a:schemeClr val="bg1"/>
              </a:solidFill>
              <a:latin typeface="Montserrat" pitchFamily="2" charset="0"/>
            </a:rPr>
            <a:t>NOTAS</a:t>
          </a:r>
        </a:p>
      </xdr:txBody>
    </xdr:sp>
    <xdr:clientData/>
  </xdr:twoCellAnchor>
  <xdr:twoCellAnchor editAs="absolute">
    <xdr:from>
      <xdr:col>0</xdr:col>
      <xdr:colOff>152400</xdr:colOff>
      <xdr:row>18</xdr:row>
      <xdr:rowOff>200025</xdr:rowOff>
    </xdr:from>
    <xdr:to>
      <xdr:col>0</xdr:col>
      <xdr:colOff>1657350</xdr:colOff>
      <xdr:row>23</xdr:row>
      <xdr:rowOff>28575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C9D1DB86-736E-4A44-8584-1C0BB3140AEF}"/>
            </a:ext>
          </a:extLst>
        </xdr:cNvPr>
        <xdr:cNvSpPr/>
      </xdr:nvSpPr>
      <xdr:spPr>
        <a:xfrm>
          <a:off x="152400" y="3990975"/>
          <a:ext cx="1504950" cy="876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1100" b="1" baseline="0">
            <a:gradFill>
              <a:gsLst>
                <a:gs pos="0">
                  <a:schemeClr val="bg1"/>
                </a:gs>
                <a:gs pos="100000">
                  <a:srgbClr val="4D8FC7"/>
                </a:gs>
              </a:gsLst>
              <a:lin ang="5400000" scaled="0"/>
            </a:gradFill>
          </a:endParaRPr>
        </a:p>
        <a:p>
          <a:pPr algn="ctr"/>
          <a:endParaRPr lang="pt-BR" sz="1100" b="1" baseline="0">
            <a:gradFill>
              <a:gsLst>
                <a:gs pos="0">
                  <a:schemeClr val="bg1"/>
                </a:gs>
                <a:gs pos="100000">
                  <a:srgbClr val="4D8FC7"/>
                </a:gs>
              </a:gsLst>
              <a:lin ang="5400000" scaled="0"/>
            </a:gradFill>
          </a:endParaRPr>
        </a:p>
        <a:p>
          <a:pPr algn="ctr"/>
          <a:r>
            <a:rPr lang="pt-BR" sz="1100" b="1" baseline="0">
              <a:gradFill>
                <a:gsLst>
                  <a:gs pos="0">
                    <a:schemeClr val="bg1"/>
                  </a:gs>
                  <a:gs pos="100000">
                    <a:srgbClr val="4D8FC7"/>
                  </a:gs>
                </a:gsLst>
                <a:lin ang="5400000" scaled="0"/>
              </a:gradFill>
            </a:rPr>
            <a:t>SYSTEM by VA 📶</a:t>
          </a:r>
          <a:endParaRPr lang="pt-BR" sz="1100">
            <a:gradFill>
              <a:gsLst>
                <a:gs pos="0">
                  <a:schemeClr val="bg1"/>
                </a:gs>
                <a:gs pos="100000">
                  <a:srgbClr val="4D8FC7"/>
                </a:gs>
              </a:gsLst>
              <a:lin ang="5400000" scaled="0"/>
            </a:gradFill>
          </a:endParaRPr>
        </a:p>
      </xdr:txBody>
    </xdr:sp>
    <xdr:clientData/>
  </xdr:twoCellAnchor>
  <xdr:twoCellAnchor editAs="absolute">
    <xdr:from>
      <xdr:col>0</xdr:col>
      <xdr:colOff>295275</xdr:colOff>
      <xdr:row>20</xdr:row>
      <xdr:rowOff>114300</xdr:rowOff>
    </xdr:from>
    <xdr:to>
      <xdr:col>0</xdr:col>
      <xdr:colOff>1504950</xdr:colOff>
      <xdr:row>20</xdr:row>
      <xdr:rowOff>114300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EB790A3A-81A5-4FF1-8B71-143CF01C9D08}"/>
            </a:ext>
          </a:extLst>
        </xdr:cNvPr>
        <xdr:cNvCxnSpPr/>
      </xdr:nvCxnSpPr>
      <xdr:spPr>
        <a:xfrm>
          <a:off x="295275" y="4324350"/>
          <a:ext cx="120967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688975</xdr:colOff>
      <xdr:row>23</xdr:row>
      <xdr:rowOff>47625</xdr:rowOff>
    </xdr:from>
    <xdr:to>
      <xdr:col>0</xdr:col>
      <xdr:colOff>1044911</xdr:colOff>
      <xdr:row>25</xdr:row>
      <xdr:rowOff>3987</xdr:rowOff>
    </xdr:to>
    <xdr:pic>
      <xdr:nvPicPr>
        <xdr:cNvPr id="9" name="icon_link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583483C-9F70-4524-9751-5EA5F5D099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975" y="4886325"/>
          <a:ext cx="355936" cy="356412"/>
        </a:xfrm>
        <a:prstGeom prst="rect">
          <a:avLst/>
        </a:prstGeom>
      </xdr:spPr>
    </xdr:pic>
    <xdr:clientData/>
  </xdr:twoCellAnchor>
  <xdr:twoCellAnchor>
    <xdr:from>
      <xdr:col>1</xdr:col>
      <xdr:colOff>600075</xdr:colOff>
      <xdr:row>3</xdr:row>
      <xdr:rowOff>247650</xdr:rowOff>
    </xdr:from>
    <xdr:to>
      <xdr:col>2</xdr:col>
      <xdr:colOff>0</xdr:colOff>
      <xdr:row>3</xdr:row>
      <xdr:rowOff>247650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817179AA-FE30-4273-B0C4-600518A6AFE3}"/>
            </a:ext>
          </a:extLst>
        </xdr:cNvPr>
        <xdr:cNvCxnSpPr/>
      </xdr:nvCxnSpPr>
      <xdr:spPr>
        <a:xfrm>
          <a:off x="2419350" y="819150"/>
          <a:ext cx="4781550" cy="0"/>
        </a:xfrm>
        <a:prstGeom prst="line">
          <a:avLst/>
        </a:prstGeom>
        <a:ln/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180975</xdr:colOff>
      <xdr:row>16</xdr:row>
      <xdr:rowOff>58532</xdr:rowOff>
    </xdr:from>
    <xdr:to>
      <xdr:col>0</xdr:col>
      <xdr:colOff>1657350</xdr:colOff>
      <xdr:row>17</xdr:row>
      <xdr:rowOff>198642</xdr:rowOff>
    </xdr:to>
    <xdr:sp macro="" textlink="">
      <xdr:nvSpPr>
        <xdr:cNvPr id="12" name="Retângulo: Cantos Arredondados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EAF1D52-1B09-43A2-91D1-4239D8ECF57D}"/>
            </a:ext>
          </a:extLst>
        </xdr:cNvPr>
        <xdr:cNvSpPr/>
      </xdr:nvSpPr>
      <xdr:spPr>
        <a:xfrm>
          <a:off x="180975" y="3430382"/>
          <a:ext cx="1476375" cy="349660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noAutofit/>
        </a:bodyPr>
        <a:lstStyle/>
        <a:p>
          <a:pPr algn="ctr"/>
          <a:r>
            <a:rPr lang="pt-BR" sz="1000" b="1" baseline="0">
              <a:solidFill>
                <a:schemeClr val="bg1"/>
              </a:solidFill>
              <a:latin typeface="Montserrat" pitchFamily="2" charset="0"/>
            </a:rPr>
            <a:t>BENS</a:t>
          </a:r>
        </a:p>
      </xdr:txBody>
    </xdr:sp>
    <xdr:clientData/>
  </xdr:twoCellAnchor>
  <xdr:twoCellAnchor>
    <xdr:from>
      <xdr:col>2</xdr:col>
      <xdr:colOff>0</xdr:colOff>
      <xdr:row>3</xdr:row>
      <xdr:rowOff>247650</xdr:rowOff>
    </xdr:from>
    <xdr:to>
      <xdr:col>5</xdr:col>
      <xdr:colOff>0</xdr:colOff>
      <xdr:row>3</xdr:row>
      <xdr:rowOff>247650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75CBD98E-E523-4022-B987-7AE6A32D366C}"/>
            </a:ext>
          </a:extLst>
        </xdr:cNvPr>
        <xdr:cNvCxnSpPr/>
      </xdr:nvCxnSpPr>
      <xdr:spPr>
        <a:xfrm>
          <a:off x="2428875" y="819150"/>
          <a:ext cx="4810125" cy="0"/>
        </a:xfrm>
        <a:prstGeom prst="line">
          <a:avLst/>
        </a:prstGeom>
        <a:ln/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1028700</xdr:colOff>
      <xdr:row>24</xdr:row>
      <xdr:rowOff>142875</xdr:rowOff>
    </xdr:from>
    <xdr:to>
      <xdr:col>4</xdr:col>
      <xdr:colOff>104775</xdr:colOff>
      <xdr:row>26</xdr:row>
      <xdr:rowOff>57150</xdr:rowOff>
    </xdr:to>
    <xdr:sp macro="" textlink="">
      <xdr:nvSpPr>
        <xdr:cNvPr id="11" name="Retângulo: Cantos Arredondados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52C0E0D-9364-440E-AFB8-2122D197A42A}"/>
            </a:ext>
          </a:extLst>
        </xdr:cNvPr>
        <xdr:cNvSpPr/>
      </xdr:nvSpPr>
      <xdr:spPr>
        <a:xfrm>
          <a:off x="4838700" y="5191125"/>
          <a:ext cx="1123950" cy="295275"/>
        </a:xfrm>
        <a:prstGeom prst="roundRect">
          <a:avLst>
            <a:gd name="adj" fmla="val 50000"/>
          </a:avLst>
        </a:prstGeom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 b="1">
              <a:solidFill>
                <a:schemeClr val="bg1"/>
              </a:solidFill>
              <a:latin typeface="Montserrat" pitchFamily="2" charset="0"/>
            </a:rPr>
            <a:t>PRÓXIMO</a:t>
          </a:r>
        </a:p>
      </xdr:txBody>
    </xdr:sp>
    <xdr:clientData/>
  </xdr:twoCellAnchor>
  <xdr:twoCellAnchor editAs="absolute">
    <xdr:from>
      <xdr:col>2</xdr:col>
      <xdr:colOff>1257300</xdr:colOff>
      <xdr:row>24</xdr:row>
      <xdr:rowOff>142875</xdr:rowOff>
    </xdr:from>
    <xdr:to>
      <xdr:col>3</xdr:col>
      <xdr:colOff>1000125</xdr:colOff>
      <xdr:row>26</xdr:row>
      <xdr:rowOff>57150</xdr:rowOff>
    </xdr:to>
    <xdr:sp macro="" textlink="">
      <xdr:nvSpPr>
        <xdr:cNvPr id="14" name="Retângulo: Cantos Arredondados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31352FD-09AA-4B5D-BAC9-757A6658B2F1}"/>
            </a:ext>
          </a:extLst>
        </xdr:cNvPr>
        <xdr:cNvSpPr/>
      </xdr:nvSpPr>
      <xdr:spPr>
        <a:xfrm>
          <a:off x="3686175" y="5191125"/>
          <a:ext cx="1123950" cy="295275"/>
        </a:xfrm>
        <a:prstGeom prst="roundRect">
          <a:avLst>
            <a:gd name="adj" fmla="val 50000"/>
          </a:avLst>
        </a:prstGeom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 b="1">
              <a:solidFill>
                <a:schemeClr val="bg1"/>
              </a:solidFill>
              <a:latin typeface="Montserrat" pitchFamily="2" charset="0"/>
            </a:rPr>
            <a:t>ANTERIOR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313412</xdr:colOff>
      <xdr:row>3</xdr:row>
      <xdr:rowOff>38101</xdr:rowOff>
    </xdr:from>
    <xdr:to>
      <xdr:col>0</xdr:col>
      <xdr:colOff>1496336</xdr:colOff>
      <xdr:row>9</xdr:row>
      <xdr:rowOff>38100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656A18F-3DBA-40C4-8320-43A304DAD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412" y="609601"/>
          <a:ext cx="1182924" cy="1333499"/>
        </a:xfrm>
        <a:prstGeom prst="rect">
          <a:avLst/>
        </a:prstGeom>
        <a:effectLst>
          <a:glow>
            <a:schemeClr val="accent1"/>
          </a:glow>
        </a:effectLst>
      </xdr:spPr>
    </xdr:pic>
    <xdr:clientData/>
  </xdr:twoCellAnchor>
  <xdr:twoCellAnchor>
    <xdr:from>
      <xdr:col>0</xdr:col>
      <xdr:colOff>161924</xdr:colOff>
      <xdr:row>0</xdr:row>
      <xdr:rowOff>171450</xdr:rowOff>
    </xdr:from>
    <xdr:to>
      <xdr:col>0</xdr:col>
      <xdr:colOff>1647825</xdr:colOff>
      <xdr:row>3</xdr:row>
      <xdr:rowOff>28575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300564A1-97BB-4458-9A83-BCF15E6AFB7F}"/>
            </a:ext>
          </a:extLst>
        </xdr:cNvPr>
        <xdr:cNvSpPr/>
      </xdr:nvSpPr>
      <xdr:spPr>
        <a:xfrm>
          <a:off x="161924" y="171450"/>
          <a:ext cx="1485901" cy="4286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47000">
                    <a:srgbClr val="6894BC"/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100000">
                    <a:srgbClr val="4D8FC7"/>
                  </a:gs>
                </a:gsLst>
                <a:lin ang="5400000" scaled="0"/>
              </a:gradFill>
              <a:latin typeface="Montserrat" pitchFamily="2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161925</xdr:colOff>
      <xdr:row>9</xdr:row>
      <xdr:rowOff>58532</xdr:rowOff>
    </xdr:from>
    <xdr:to>
      <xdr:col>0</xdr:col>
      <xdr:colOff>1638300</xdr:colOff>
      <xdr:row>10</xdr:row>
      <xdr:rowOff>198642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3724C95-E4EB-4582-830B-716F61BE8442}"/>
            </a:ext>
          </a:extLst>
        </xdr:cNvPr>
        <xdr:cNvSpPr/>
      </xdr:nvSpPr>
      <xdr:spPr>
        <a:xfrm>
          <a:off x="161925" y="1963532"/>
          <a:ext cx="1476375" cy="349660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noAutofit/>
        </a:bodyPr>
        <a:lstStyle/>
        <a:p>
          <a:pPr algn="ctr"/>
          <a:r>
            <a:rPr lang="pt-BR" sz="1000" b="1" baseline="0">
              <a:solidFill>
                <a:schemeClr val="bg1"/>
              </a:solidFill>
              <a:latin typeface="Montserrat" pitchFamily="2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171450</xdr:colOff>
      <xdr:row>11</xdr:row>
      <xdr:rowOff>128382</xdr:rowOff>
    </xdr:from>
    <xdr:to>
      <xdr:col>0</xdr:col>
      <xdr:colOff>1647825</xdr:colOff>
      <xdr:row>13</xdr:row>
      <xdr:rowOff>58942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4626F7D-8745-4E0A-B93A-931DFB89EC74}"/>
            </a:ext>
          </a:extLst>
        </xdr:cNvPr>
        <xdr:cNvSpPr/>
      </xdr:nvSpPr>
      <xdr:spPr>
        <a:xfrm>
          <a:off x="171450" y="2452482"/>
          <a:ext cx="1476375" cy="349660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noAutofit/>
        </a:bodyPr>
        <a:lstStyle/>
        <a:p>
          <a:pPr algn="ctr"/>
          <a:r>
            <a:rPr lang="pt-BR" sz="1000" b="1" baseline="0">
              <a:solidFill>
                <a:schemeClr val="bg1"/>
              </a:solidFill>
              <a:latin typeface="Montserrat" pitchFamily="2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180975</xdr:colOff>
      <xdr:row>13</xdr:row>
      <xdr:rowOff>198232</xdr:rowOff>
    </xdr:from>
    <xdr:to>
      <xdr:col>0</xdr:col>
      <xdr:colOff>1657350</xdr:colOff>
      <xdr:row>15</xdr:row>
      <xdr:rowOff>128792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7F180C3-BF12-46DE-80F3-28882E4A5865}"/>
            </a:ext>
          </a:extLst>
        </xdr:cNvPr>
        <xdr:cNvSpPr/>
      </xdr:nvSpPr>
      <xdr:spPr>
        <a:xfrm>
          <a:off x="180975" y="2941432"/>
          <a:ext cx="1476375" cy="349660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noAutofit/>
        </a:bodyPr>
        <a:lstStyle/>
        <a:p>
          <a:pPr algn="ctr"/>
          <a:r>
            <a:rPr lang="pt-BR" sz="1000" b="1" baseline="0">
              <a:solidFill>
                <a:schemeClr val="bg1"/>
              </a:solidFill>
              <a:latin typeface="Montserrat" pitchFamily="2" charset="0"/>
            </a:rPr>
            <a:t>NOTAS</a:t>
          </a:r>
        </a:p>
      </xdr:txBody>
    </xdr:sp>
    <xdr:clientData/>
  </xdr:twoCellAnchor>
  <xdr:twoCellAnchor editAs="absolute">
    <xdr:from>
      <xdr:col>0</xdr:col>
      <xdr:colOff>152400</xdr:colOff>
      <xdr:row>18</xdr:row>
      <xdr:rowOff>200025</xdr:rowOff>
    </xdr:from>
    <xdr:to>
      <xdr:col>0</xdr:col>
      <xdr:colOff>1657350</xdr:colOff>
      <xdr:row>23</xdr:row>
      <xdr:rowOff>28575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77F3F668-3CEA-4312-A100-CD79CEDF680C}"/>
            </a:ext>
          </a:extLst>
        </xdr:cNvPr>
        <xdr:cNvSpPr/>
      </xdr:nvSpPr>
      <xdr:spPr>
        <a:xfrm>
          <a:off x="152400" y="3990975"/>
          <a:ext cx="1504950" cy="876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1100" b="1" baseline="0">
            <a:gradFill>
              <a:gsLst>
                <a:gs pos="0">
                  <a:schemeClr val="bg1"/>
                </a:gs>
                <a:gs pos="100000">
                  <a:srgbClr val="4D8FC7"/>
                </a:gs>
              </a:gsLst>
              <a:lin ang="5400000" scaled="0"/>
            </a:gradFill>
          </a:endParaRPr>
        </a:p>
        <a:p>
          <a:pPr algn="ctr"/>
          <a:endParaRPr lang="pt-BR" sz="1100" b="1" baseline="0">
            <a:gradFill>
              <a:gsLst>
                <a:gs pos="0">
                  <a:schemeClr val="bg1"/>
                </a:gs>
                <a:gs pos="100000">
                  <a:srgbClr val="4D8FC7"/>
                </a:gs>
              </a:gsLst>
              <a:lin ang="5400000" scaled="0"/>
            </a:gradFill>
          </a:endParaRPr>
        </a:p>
        <a:p>
          <a:pPr algn="ctr"/>
          <a:r>
            <a:rPr lang="pt-BR" sz="1100" b="1" baseline="0">
              <a:gradFill>
                <a:gsLst>
                  <a:gs pos="0">
                    <a:schemeClr val="bg1"/>
                  </a:gs>
                  <a:gs pos="100000">
                    <a:srgbClr val="4D8FC7"/>
                  </a:gs>
                </a:gsLst>
                <a:lin ang="5400000" scaled="0"/>
              </a:gradFill>
            </a:rPr>
            <a:t>SYSTEM by VA 📶</a:t>
          </a:r>
          <a:endParaRPr lang="pt-BR" sz="1100">
            <a:gradFill>
              <a:gsLst>
                <a:gs pos="0">
                  <a:schemeClr val="bg1"/>
                </a:gs>
                <a:gs pos="100000">
                  <a:srgbClr val="4D8FC7"/>
                </a:gs>
              </a:gsLst>
              <a:lin ang="5400000" scaled="0"/>
            </a:gradFill>
          </a:endParaRPr>
        </a:p>
      </xdr:txBody>
    </xdr:sp>
    <xdr:clientData/>
  </xdr:twoCellAnchor>
  <xdr:twoCellAnchor editAs="absolute">
    <xdr:from>
      <xdr:col>0</xdr:col>
      <xdr:colOff>295275</xdr:colOff>
      <xdr:row>20</xdr:row>
      <xdr:rowOff>114300</xdr:rowOff>
    </xdr:from>
    <xdr:to>
      <xdr:col>0</xdr:col>
      <xdr:colOff>1504950</xdr:colOff>
      <xdr:row>20</xdr:row>
      <xdr:rowOff>114300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FCEE5F89-8CA2-4C35-9E5C-3255C9309B52}"/>
            </a:ext>
          </a:extLst>
        </xdr:cNvPr>
        <xdr:cNvCxnSpPr/>
      </xdr:nvCxnSpPr>
      <xdr:spPr>
        <a:xfrm>
          <a:off x="295275" y="4324350"/>
          <a:ext cx="120967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688975</xdr:colOff>
      <xdr:row>23</xdr:row>
      <xdr:rowOff>47625</xdr:rowOff>
    </xdr:from>
    <xdr:to>
      <xdr:col>0</xdr:col>
      <xdr:colOff>1044911</xdr:colOff>
      <xdr:row>25</xdr:row>
      <xdr:rowOff>3987</xdr:rowOff>
    </xdr:to>
    <xdr:pic>
      <xdr:nvPicPr>
        <xdr:cNvPr id="9" name="icon_link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6911FB1-4CCE-416D-978A-520D54D48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975" y="4886325"/>
          <a:ext cx="355936" cy="356412"/>
        </a:xfrm>
        <a:prstGeom prst="rect">
          <a:avLst/>
        </a:prstGeom>
      </xdr:spPr>
    </xdr:pic>
    <xdr:clientData/>
  </xdr:twoCellAnchor>
  <xdr:twoCellAnchor>
    <xdr:from>
      <xdr:col>1</xdr:col>
      <xdr:colOff>600075</xdr:colOff>
      <xdr:row>3</xdr:row>
      <xdr:rowOff>247650</xdr:rowOff>
    </xdr:from>
    <xdr:to>
      <xdr:col>8</xdr:col>
      <xdr:colOff>0</xdr:colOff>
      <xdr:row>3</xdr:row>
      <xdr:rowOff>247650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D116F682-548D-4A0C-850E-40A6B0EA6B4F}"/>
            </a:ext>
          </a:extLst>
        </xdr:cNvPr>
        <xdr:cNvCxnSpPr/>
      </xdr:nvCxnSpPr>
      <xdr:spPr>
        <a:xfrm>
          <a:off x="2419350" y="819150"/>
          <a:ext cx="6000750" cy="0"/>
        </a:xfrm>
        <a:prstGeom prst="line">
          <a:avLst/>
        </a:prstGeom>
        <a:ln/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180975</xdr:colOff>
      <xdr:row>16</xdr:row>
      <xdr:rowOff>58532</xdr:rowOff>
    </xdr:from>
    <xdr:to>
      <xdr:col>0</xdr:col>
      <xdr:colOff>1657350</xdr:colOff>
      <xdr:row>17</xdr:row>
      <xdr:rowOff>198642</xdr:rowOff>
    </xdr:to>
    <xdr:sp macro="" textlink="">
      <xdr:nvSpPr>
        <xdr:cNvPr id="12" name="Retângulo: Cantos Arredondados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488FA7D-774A-41D5-AF94-9F8297EEDE15}"/>
            </a:ext>
          </a:extLst>
        </xdr:cNvPr>
        <xdr:cNvSpPr/>
      </xdr:nvSpPr>
      <xdr:spPr>
        <a:xfrm>
          <a:off x="180975" y="3430382"/>
          <a:ext cx="1476375" cy="349660"/>
        </a:xfrm>
        <a:prstGeom prst="roundRect">
          <a:avLst>
            <a:gd name="adj" fmla="val 50000"/>
          </a:avLst>
        </a:prstGeom>
        <a:gradFill>
          <a:gsLst>
            <a:gs pos="0">
              <a:srgbClr val="4D8FC7"/>
            </a:gs>
            <a:gs pos="100000">
              <a:srgbClr val="3E6388"/>
            </a:gs>
          </a:gsLst>
          <a:lin ang="5400000" scaled="0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noAutofit/>
        </a:bodyPr>
        <a:lstStyle/>
        <a:p>
          <a:pPr algn="ctr"/>
          <a:r>
            <a:rPr lang="pt-BR" sz="1000" b="1" baseline="0">
              <a:solidFill>
                <a:schemeClr val="bg1"/>
              </a:solidFill>
              <a:latin typeface="Montserrat" pitchFamily="2" charset="0"/>
            </a:rPr>
            <a:t>BENS</a:t>
          </a:r>
        </a:p>
      </xdr:txBody>
    </xdr:sp>
    <xdr:clientData/>
  </xdr:twoCellAnchor>
  <xdr:twoCellAnchor editAs="absolute">
    <xdr:from>
      <xdr:col>6</xdr:col>
      <xdr:colOff>790575</xdr:colOff>
      <xdr:row>2</xdr:row>
      <xdr:rowOff>66675</xdr:rowOff>
    </xdr:from>
    <xdr:to>
      <xdr:col>7</xdr:col>
      <xdr:colOff>1028700</xdr:colOff>
      <xdr:row>3</xdr:row>
      <xdr:rowOff>171450</xdr:rowOff>
    </xdr:to>
    <xdr:sp macro="" textlink="">
      <xdr:nvSpPr>
        <xdr:cNvPr id="13" name="Retângulo: Cantos Arredondados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AD8B8AF-1A02-44C2-8176-9A3243D832DE}"/>
            </a:ext>
          </a:extLst>
        </xdr:cNvPr>
        <xdr:cNvSpPr/>
      </xdr:nvSpPr>
      <xdr:spPr>
        <a:xfrm>
          <a:off x="7277100" y="447675"/>
          <a:ext cx="1123950" cy="295275"/>
        </a:xfrm>
        <a:prstGeom prst="roundRect">
          <a:avLst>
            <a:gd name="adj" fmla="val 50000"/>
          </a:avLst>
        </a:prstGeom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 b="1">
              <a:solidFill>
                <a:schemeClr val="bg1"/>
              </a:solidFill>
              <a:latin typeface="Montserrat" pitchFamily="2" charset="0"/>
            </a:rPr>
            <a:t>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E7A3457-4CF1-48E5-A603-66B5E5A790B2}" name="Tabela14" displayName="Tabela14" ref="C8:E24" totalsRowShown="0" headerRowDxfId="12" dataDxfId="11">
  <autoFilter ref="C8:E24" xr:uid="{0E7A3457-4CF1-48E5-A603-66B5E5A790B2}"/>
  <tableColumns count="3">
    <tableColumn id="1" xr3:uid="{10220D9B-434A-4A14-BCD8-305C1FE07598}" name="Data" dataDxfId="10"/>
    <tableColumn id="2" xr3:uid="{170092FA-AD80-4394-8C0A-6B3418F2157E}" name="Categoria" dataDxfId="9"/>
    <tableColumn id="3" xr3:uid="{77D4D66D-7662-4F69-9AEC-BA8E4A21358E}" name="Valor" dataDxfId="8"/>
  </tableColumns>
  <tableStyleInfo name="TableStyleDark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2692731-6D9D-49E7-9A17-92968840D0AB}" name="Tabela4" displayName="Tabela4" ref="C8:H24" totalsRowShown="0" headerRowDxfId="7" dataDxfId="6">
  <autoFilter ref="C8:H24" xr:uid="{72692731-6D9D-49E7-9A17-92968840D0AB}"/>
  <tableColumns count="6">
    <tableColumn id="1" xr3:uid="{FB67259D-02A9-4E7F-9D90-BC4C33756999}" name="Data" dataDxfId="5"/>
    <tableColumn id="2" xr3:uid="{17EB7171-0183-426B-BC48-B3D315720CE5}" name="Categoria" dataDxfId="4"/>
    <tableColumn id="3" xr3:uid="{39E7D05C-8A3D-49A7-846C-6164EB4DC1C5}" name="Descrição" dataDxfId="3"/>
    <tableColumn id="7" xr3:uid="{E5A95C1A-39D7-46BA-A8CE-E9ACFDBECF61}" name="Local" dataDxfId="2"/>
    <tableColumn id="4" xr3:uid="{3907BBC6-450E-43C2-9CC2-9922F0D75B88}" name="Valor" dataDxfId="1"/>
    <tableColumn id="5" xr3:uid="{7F3C629B-7E3F-4959-A9D2-C18F3739CB1D}" name="Anexos 📎" dataDxfId="0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 vertOverflow="clip" horzOverflow="clip" rtlCol="0" anchor="ctr"/>
      <a:lstStyle>
        <a:defPPr algn="ctr">
          <a:defRPr sz="1100">
            <a:gradFill>
              <a:gsLst>
                <a:gs pos="0">
                  <a:schemeClr val="bg1"/>
                </a:gs>
                <a:gs pos="100000">
                  <a:srgbClr val="4D8FC7"/>
                </a:gs>
              </a:gsLst>
              <a:lin ang="5400000" scaled="0"/>
            </a:gradFill>
          </a:defRPr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66D0F-8F01-4D6D-972F-D3AB8A0577A4}">
  <sheetPr codeName="Planilha1"/>
  <dimension ref="A4:E23"/>
  <sheetViews>
    <sheetView showGridLines="0" showRowColHeaders="0" tabSelected="1" workbookViewId="0">
      <selection activeCell="D7" sqref="D7"/>
    </sheetView>
  </sheetViews>
  <sheetFormatPr defaultRowHeight="15" x14ac:dyDescent="0.25"/>
  <cols>
    <col min="1" max="1" width="27.28515625" style="1" customWidth="1"/>
    <col min="3" max="4" width="35.7109375" customWidth="1"/>
  </cols>
  <sheetData>
    <row r="4" spans="2:5" ht="20.25" x14ac:dyDescent="0.5">
      <c r="B4" s="2"/>
      <c r="C4" s="5" t="s">
        <v>13</v>
      </c>
      <c r="D4" s="3"/>
      <c r="E4" s="2"/>
    </row>
    <row r="5" spans="2:5" ht="16.5" x14ac:dyDescent="0.35">
      <c r="B5" s="2"/>
      <c r="C5" s="7" t="s">
        <v>21</v>
      </c>
      <c r="D5" s="4"/>
      <c r="E5" s="2"/>
    </row>
    <row r="6" spans="2:5" x14ac:dyDescent="0.25">
      <c r="B6" s="2"/>
      <c r="C6" s="2"/>
      <c r="D6" s="2"/>
      <c r="E6" s="2"/>
    </row>
    <row r="7" spans="2:5" ht="16.5" x14ac:dyDescent="0.35">
      <c r="B7" s="2"/>
      <c r="C7" s="22" t="s">
        <v>1</v>
      </c>
      <c r="D7" s="10" t="s">
        <v>15</v>
      </c>
      <c r="E7" s="2"/>
    </row>
    <row r="8" spans="2:5" ht="16.5" x14ac:dyDescent="0.35">
      <c r="B8" s="2"/>
      <c r="C8" s="22" t="s">
        <v>0</v>
      </c>
      <c r="D8" s="11">
        <v>98765432198</v>
      </c>
      <c r="E8" s="2"/>
    </row>
    <row r="9" spans="2:5" ht="16.5" x14ac:dyDescent="0.35">
      <c r="B9" s="2"/>
      <c r="C9" s="22" t="s">
        <v>18</v>
      </c>
      <c r="D9" s="12" t="s">
        <v>19</v>
      </c>
      <c r="E9" s="2"/>
    </row>
    <row r="10" spans="2:5" ht="16.5" x14ac:dyDescent="0.35">
      <c r="B10" s="2"/>
      <c r="C10" s="22" t="s">
        <v>2</v>
      </c>
      <c r="D10" s="13">
        <v>987665432198</v>
      </c>
      <c r="E10" s="2"/>
    </row>
    <row r="11" spans="2:5" ht="16.5" x14ac:dyDescent="0.35">
      <c r="B11" s="2"/>
      <c r="C11" s="22" t="s">
        <v>4</v>
      </c>
      <c r="D11" s="10" t="s">
        <v>109</v>
      </c>
      <c r="E11" s="2"/>
    </row>
    <row r="12" spans="2:5" ht="16.5" x14ac:dyDescent="0.35">
      <c r="B12" s="2"/>
      <c r="C12" s="22" t="s">
        <v>3</v>
      </c>
      <c r="D12" s="10" t="s">
        <v>108</v>
      </c>
      <c r="E12" s="2"/>
    </row>
    <row r="13" spans="2:5" ht="16.5" x14ac:dyDescent="0.35">
      <c r="B13" s="2"/>
      <c r="C13" s="22" t="s">
        <v>5</v>
      </c>
      <c r="D13" s="10" t="s">
        <v>17</v>
      </c>
      <c r="E13" s="2"/>
    </row>
    <row r="14" spans="2:5" ht="16.5" x14ac:dyDescent="0.35">
      <c r="B14" s="2"/>
      <c r="C14" s="22" t="s">
        <v>6</v>
      </c>
      <c r="D14" s="14">
        <v>12345689</v>
      </c>
      <c r="E14" s="2"/>
    </row>
    <row r="15" spans="2:5" ht="16.5" x14ac:dyDescent="0.35">
      <c r="B15" s="2"/>
      <c r="C15" s="22" t="s">
        <v>7</v>
      </c>
      <c r="D15" s="15">
        <v>9932654045</v>
      </c>
      <c r="E15" s="2"/>
    </row>
    <row r="16" spans="2:5" ht="16.5" x14ac:dyDescent="0.35">
      <c r="B16" s="2"/>
      <c r="C16" s="22" t="s">
        <v>8</v>
      </c>
      <c r="D16" s="16">
        <v>945628745</v>
      </c>
      <c r="E16" s="2"/>
    </row>
    <row r="17" spans="2:5" ht="16.5" x14ac:dyDescent="0.35">
      <c r="B17" s="2"/>
      <c r="C17" s="22" t="s">
        <v>9</v>
      </c>
      <c r="D17" s="23" t="s">
        <v>16</v>
      </c>
      <c r="E17" s="2"/>
    </row>
    <row r="18" spans="2:5" ht="16.5" x14ac:dyDescent="0.35">
      <c r="B18" s="2"/>
      <c r="C18" s="22" t="s">
        <v>10</v>
      </c>
      <c r="D18" s="10" t="s">
        <v>14</v>
      </c>
      <c r="E18" s="2"/>
    </row>
    <row r="19" spans="2:5" ht="16.5" x14ac:dyDescent="0.35">
      <c r="B19" s="2"/>
      <c r="C19" s="22" t="s">
        <v>11</v>
      </c>
      <c r="D19" s="10" t="s">
        <v>14</v>
      </c>
      <c r="E19" s="2"/>
    </row>
    <row r="20" spans="2:5" ht="16.5" x14ac:dyDescent="0.35">
      <c r="B20" s="2"/>
      <c r="C20" s="22" t="s">
        <v>12</v>
      </c>
      <c r="D20" s="10" t="s">
        <v>14</v>
      </c>
      <c r="E20" s="2"/>
    </row>
    <row r="21" spans="2:5" x14ac:dyDescent="0.25">
      <c r="B21" s="2"/>
      <c r="C21" s="2"/>
      <c r="D21" s="2"/>
      <c r="E21" s="2"/>
    </row>
    <row r="22" spans="2:5" x14ac:dyDescent="0.25">
      <c r="B22" s="2"/>
      <c r="C22" s="2"/>
      <c r="D22" s="2"/>
      <c r="E22" s="2"/>
    </row>
    <row r="23" spans="2:5" x14ac:dyDescent="0.25">
      <c r="B23" s="2"/>
      <c r="C23" s="2"/>
      <c r="D23" s="2"/>
      <c r="E23" s="2"/>
    </row>
  </sheetData>
  <sheetProtection sheet="1" selectLockedCells="1"/>
  <dataValidations count="1">
    <dataValidation type="list" allowBlank="1" showInputMessage="1" showErrorMessage="1" sqref="D18:D20" xr:uid="{3AECB062-AC1B-4005-BC34-3E58087F753D}">
      <formula1>"SIM,NÃO"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E9BD6-BCB3-43C4-8220-76FB48C2F16C}">
  <dimension ref="A4:D23"/>
  <sheetViews>
    <sheetView showGridLines="0" showRowColHeaders="0" workbookViewId="0">
      <selection activeCell="D11" sqref="D11"/>
    </sheetView>
  </sheetViews>
  <sheetFormatPr defaultRowHeight="15" x14ac:dyDescent="0.25"/>
  <cols>
    <col min="1" max="1" width="27.28515625" style="1" customWidth="1"/>
    <col min="3" max="4" width="35.7109375" customWidth="1"/>
  </cols>
  <sheetData>
    <row r="4" spans="3:4" ht="20.25" x14ac:dyDescent="0.5">
      <c r="C4" s="5" t="s">
        <v>82</v>
      </c>
      <c r="D4" s="3"/>
    </row>
    <row r="5" spans="3:4" ht="16.5" x14ac:dyDescent="0.35">
      <c r="C5" s="7" t="s">
        <v>20</v>
      </c>
      <c r="D5" s="4"/>
    </row>
    <row r="7" spans="3:4" ht="16.5" x14ac:dyDescent="0.35">
      <c r="C7" s="9" t="s">
        <v>78</v>
      </c>
    </row>
    <row r="8" spans="3:4" ht="21" x14ac:dyDescent="0.5">
      <c r="C8" s="33">
        <f>D12+D17+D22</f>
        <v>6000000</v>
      </c>
      <c r="D8" s="34"/>
    </row>
    <row r="10" spans="3:4" ht="16.5" x14ac:dyDescent="0.35">
      <c r="C10" s="8" t="s">
        <v>75</v>
      </c>
    </row>
    <row r="11" spans="3:4" ht="16.5" x14ac:dyDescent="0.35">
      <c r="C11" s="6" t="s">
        <v>22</v>
      </c>
      <c r="D11" s="10" t="s">
        <v>42</v>
      </c>
    </row>
    <row r="12" spans="3:4" ht="16.5" x14ac:dyDescent="0.35">
      <c r="C12" s="6" t="s">
        <v>23</v>
      </c>
      <c r="D12" s="17">
        <v>3500000</v>
      </c>
    </row>
    <row r="13" spans="3:4" ht="16.5" x14ac:dyDescent="0.35">
      <c r="C13" s="21" t="s">
        <v>101</v>
      </c>
      <c r="D13" s="10" t="s">
        <v>79</v>
      </c>
    </row>
    <row r="15" spans="3:4" ht="16.5" x14ac:dyDescent="0.35">
      <c r="C15" s="8" t="s">
        <v>76</v>
      </c>
    </row>
    <row r="16" spans="3:4" ht="16.5" x14ac:dyDescent="0.35">
      <c r="C16" s="6" t="s">
        <v>22</v>
      </c>
      <c r="D16" s="10" t="s">
        <v>26</v>
      </c>
    </row>
    <row r="17" spans="3:4" ht="16.5" x14ac:dyDescent="0.35">
      <c r="C17" s="6" t="s">
        <v>23</v>
      </c>
      <c r="D17" s="17">
        <v>500000</v>
      </c>
    </row>
    <row r="18" spans="3:4" ht="16.5" x14ac:dyDescent="0.35">
      <c r="C18" s="21" t="s">
        <v>101</v>
      </c>
      <c r="D18" s="10" t="s">
        <v>80</v>
      </c>
    </row>
    <row r="20" spans="3:4" ht="16.5" x14ac:dyDescent="0.35">
      <c r="C20" s="8" t="s">
        <v>77</v>
      </c>
    </row>
    <row r="21" spans="3:4" ht="16.5" x14ac:dyDescent="0.35">
      <c r="C21" s="6" t="s">
        <v>22</v>
      </c>
      <c r="D21" s="10" t="s">
        <v>34</v>
      </c>
    </row>
    <row r="22" spans="3:4" ht="16.5" x14ac:dyDescent="0.35">
      <c r="C22" s="6" t="s">
        <v>23</v>
      </c>
      <c r="D22" s="17">
        <v>2000000</v>
      </c>
    </row>
    <row r="23" spans="3:4" ht="16.5" x14ac:dyDescent="0.35">
      <c r="C23" s="21" t="s">
        <v>101</v>
      </c>
      <c r="D23" s="10" t="s">
        <v>81</v>
      </c>
    </row>
  </sheetData>
  <sheetProtection sheet="1" selectLockedCells="1"/>
  <mergeCells count="1">
    <mergeCell ref="C8:D8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inválido!" error="Banco não registrado." promptTitle="Informe seu Banco" prompt="Selecione um banco vinculado ao seu CPF" xr:uid="{9AD61AC5-1819-4DAF-99F7-3C8800B8237B}">
          <x14:formula1>
            <xm:f>Bank!$A$2:$A$51</xm:f>
          </x14:formula1>
          <xm:sqref>D11 D16 D21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8BA70-2457-4949-850D-D18A79E7F6D7}">
  <dimension ref="A4:E24"/>
  <sheetViews>
    <sheetView showGridLines="0" showRowColHeaders="0" workbookViewId="0">
      <selection activeCell="C9" sqref="C9"/>
    </sheetView>
  </sheetViews>
  <sheetFormatPr defaultRowHeight="15" x14ac:dyDescent="0.25"/>
  <cols>
    <col min="1" max="1" width="27.28515625" style="1" customWidth="1"/>
    <col min="3" max="3" width="20.7109375" customWidth="1"/>
    <col min="4" max="4" width="30.7109375" customWidth="1"/>
    <col min="5" max="5" width="20.7109375" customWidth="1"/>
  </cols>
  <sheetData>
    <row r="4" spans="2:5" ht="20.25" x14ac:dyDescent="0.5">
      <c r="B4" s="2"/>
      <c r="C4" s="5" t="s">
        <v>83</v>
      </c>
      <c r="D4" s="3"/>
    </row>
    <row r="5" spans="2:5" ht="16.5" x14ac:dyDescent="0.35">
      <c r="B5" s="2"/>
      <c r="C5" s="7" t="s">
        <v>100</v>
      </c>
      <c r="D5" s="4"/>
      <c r="E5" s="4"/>
    </row>
    <row r="6" spans="2:5" x14ac:dyDescent="0.25">
      <c r="B6" s="2"/>
    </row>
    <row r="7" spans="2:5" ht="20.25" x14ac:dyDescent="0.5">
      <c r="B7" s="2"/>
      <c r="C7" s="35" t="s">
        <v>87</v>
      </c>
      <c r="D7" s="35"/>
      <c r="E7" s="35"/>
    </row>
    <row r="8" spans="2:5" ht="16.5" x14ac:dyDescent="0.35">
      <c r="B8" s="2"/>
      <c r="C8" s="24" t="s">
        <v>84</v>
      </c>
      <c r="D8" s="24" t="s">
        <v>85</v>
      </c>
      <c r="E8" s="24" t="s">
        <v>86</v>
      </c>
    </row>
    <row r="9" spans="2:5" ht="16.5" x14ac:dyDescent="0.35">
      <c r="B9" s="2"/>
      <c r="C9" s="18">
        <v>46232</v>
      </c>
      <c r="D9" s="19" t="s">
        <v>88</v>
      </c>
      <c r="E9" s="20">
        <v>32000</v>
      </c>
    </row>
    <row r="10" spans="2:5" ht="16.5" x14ac:dyDescent="0.35">
      <c r="B10" s="2"/>
      <c r="C10" s="18">
        <v>46257</v>
      </c>
      <c r="D10" s="19" t="s">
        <v>88</v>
      </c>
      <c r="E10" s="20">
        <v>18000</v>
      </c>
    </row>
    <row r="11" spans="2:5" ht="16.5" x14ac:dyDescent="0.35">
      <c r="B11" s="2"/>
      <c r="C11" s="18"/>
      <c r="D11" s="19"/>
      <c r="E11" s="20"/>
    </row>
    <row r="12" spans="2:5" ht="16.5" x14ac:dyDescent="0.35">
      <c r="B12" s="2"/>
      <c r="C12" s="18"/>
      <c r="D12" s="19"/>
      <c r="E12" s="20"/>
    </row>
    <row r="13" spans="2:5" ht="16.5" x14ac:dyDescent="0.35">
      <c r="B13" s="2"/>
      <c r="C13" s="18"/>
      <c r="D13" s="19"/>
      <c r="E13" s="20"/>
    </row>
    <row r="14" spans="2:5" ht="16.5" x14ac:dyDescent="0.35">
      <c r="B14" s="2"/>
      <c r="C14" s="18"/>
      <c r="D14" s="19"/>
      <c r="E14" s="20"/>
    </row>
    <row r="15" spans="2:5" ht="16.5" x14ac:dyDescent="0.35">
      <c r="B15" s="2"/>
      <c r="C15" s="18"/>
      <c r="D15" s="19"/>
      <c r="E15" s="20"/>
    </row>
    <row r="16" spans="2:5" ht="16.5" x14ac:dyDescent="0.35">
      <c r="B16" s="2"/>
      <c r="C16" s="18"/>
      <c r="D16" s="19"/>
      <c r="E16" s="20"/>
    </row>
    <row r="17" spans="2:5" ht="16.5" x14ac:dyDescent="0.35">
      <c r="B17" s="2"/>
      <c r="C17" s="18"/>
      <c r="D17" s="19"/>
      <c r="E17" s="20"/>
    </row>
    <row r="18" spans="2:5" ht="16.5" x14ac:dyDescent="0.35">
      <c r="B18" s="2"/>
      <c r="C18" s="18"/>
      <c r="D18" s="19"/>
      <c r="E18" s="20"/>
    </row>
    <row r="19" spans="2:5" ht="16.5" x14ac:dyDescent="0.35">
      <c r="B19" s="2"/>
      <c r="C19" s="18"/>
      <c r="D19" s="19"/>
      <c r="E19" s="20"/>
    </row>
    <row r="20" spans="2:5" ht="16.5" x14ac:dyDescent="0.35">
      <c r="B20" s="2"/>
      <c r="C20" s="18"/>
      <c r="D20" s="19"/>
      <c r="E20" s="20"/>
    </row>
    <row r="21" spans="2:5" ht="16.5" x14ac:dyDescent="0.35">
      <c r="B21" s="2"/>
      <c r="C21" s="18"/>
      <c r="D21" s="19"/>
      <c r="E21" s="20"/>
    </row>
    <row r="22" spans="2:5" ht="16.5" x14ac:dyDescent="0.35">
      <c r="B22" s="2"/>
      <c r="C22" s="18"/>
      <c r="D22" s="19"/>
      <c r="E22" s="20"/>
    </row>
    <row r="23" spans="2:5" ht="16.5" x14ac:dyDescent="0.35">
      <c r="B23" s="2"/>
      <c r="C23" s="18"/>
      <c r="D23" s="19"/>
      <c r="E23" s="20"/>
    </row>
    <row r="24" spans="2:5" ht="16.5" x14ac:dyDescent="0.35">
      <c r="C24" s="18"/>
      <c r="D24" s="19"/>
      <c r="E24" s="20"/>
    </row>
  </sheetData>
  <sheetProtection sheet="1" objects="1" selectLockedCells="1" autoFilter="0"/>
  <mergeCells count="1">
    <mergeCell ref="C7:E7"/>
  </mergeCells>
  <dataValidations count="1">
    <dataValidation type="list" allowBlank="1" showInputMessage="1" showErrorMessage="1" sqref="D9:D24" xr:uid="{4A0F6923-0F84-44D9-BDC8-88AB8DC7E893}">
      <formula1>"Holerite,CNPJ,Freelance,"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E1D4A-A18C-4AC2-9F70-92A3F6C1E1D5}">
  <dimension ref="A4:H24"/>
  <sheetViews>
    <sheetView showGridLines="0" showRowColHeaders="0" workbookViewId="0">
      <selection activeCell="C9" sqref="C9"/>
    </sheetView>
  </sheetViews>
  <sheetFormatPr defaultRowHeight="15" x14ac:dyDescent="0.25"/>
  <cols>
    <col min="1" max="1" width="27.28515625" style="1" customWidth="1"/>
    <col min="3" max="3" width="13.7109375" customWidth="1"/>
    <col min="4" max="6" width="15.7109375" customWidth="1"/>
    <col min="7" max="7" width="13.28515625" customWidth="1"/>
    <col min="8" max="8" width="15.7109375" customWidth="1"/>
  </cols>
  <sheetData>
    <row r="4" spans="2:8" ht="20.25" x14ac:dyDescent="0.5">
      <c r="B4" s="2"/>
      <c r="C4" s="5" t="s">
        <v>105</v>
      </c>
      <c r="D4" s="3"/>
      <c r="E4" s="2"/>
    </row>
    <row r="5" spans="2:8" ht="16.5" x14ac:dyDescent="0.35">
      <c r="B5" s="2"/>
      <c r="C5" s="7" t="s">
        <v>102</v>
      </c>
      <c r="D5" s="4"/>
      <c r="E5" s="4"/>
      <c r="F5" s="4"/>
      <c r="G5" s="4"/>
      <c r="H5" s="4"/>
    </row>
    <row r="6" spans="2:8" x14ac:dyDescent="0.25">
      <c r="B6" s="2"/>
      <c r="C6" s="2"/>
    </row>
    <row r="7" spans="2:8" ht="20.25" x14ac:dyDescent="0.5">
      <c r="B7" s="2"/>
      <c r="C7" s="35" t="s">
        <v>99</v>
      </c>
      <c r="D7" s="35"/>
      <c r="E7" s="35"/>
      <c r="F7" s="35"/>
      <c r="G7" s="36">
        <f>SUM(Tabela4[Valor])</f>
        <v>455000</v>
      </c>
      <c r="H7" s="36"/>
    </row>
    <row r="8" spans="2:8" ht="16.5" x14ac:dyDescent="0.35">
      <c r="B8" s="2"/>
      <c r="C8" s="25" t="s">
        <v>84</v>
      </c>
      <c r="D8" s="26" t="s">
        <v>85</v>
      </c>
      <c r="E8" s="26" t="s">
        <v>89</v>
      </c>
      <c r="F8" s="26" t="s">
        <v>103</v>
      </c>
      <c r="G8" s="26" t="s">
        <v>86</v>
      </c>
      <c r="H8" s="26" t="s">
        <v>106</v>
      </c>
    </row>
    <row r="9" spans="2:8" ht="16.5" x14ac:dyDescent="0.35">
      <c r="B9" s="2"/>
      <c r="C9" s="27">
        <v>46022</v>
      </c>
      <c r="D9" s="28" t="s">
        <v>90</v>
      </c>
      <c r="E9" s="28" t="s">
        <v>91</v>
      </c>
      <c r="F9" s="28"/>
      <c r="G9" s="29">
        <v>80000</v>
      </c>
      <c r="H9" s="30" t="s">
        <v>92</v>
      </c>
    </row>
    <row r="10" spans="2:8" ht="16.5" x14ac:dyDescent="0.35">
      <c r="B10" s="2"/>
      <c r="C10" s="27">
        <v>46022</v>
      </c>
      <c r="D10" s="28" t="s">
        <v>93</v>
      </c>
      <c r="E10" s="28" t="s">
        <v>94</v>
      </c>
      <c r="F10" s="28" t="s">
        <v>107</v>
      </c>
      <c r="G10" s="29">
        <v>350000</v>
      </c>
      <c r="H10" s="30" t="s">
        <v>95</v>
      </c>
    </row>
    <row r="11" spans="2:8" ht="16.5" x14ac:dyDescent="0.35">
      <c r="B11" s="2"/>
      <c r="C11" s="27">
        <v>46022</v>
      </c>
      <c r="D11" s="28" t="s">
        <v>96</v>
      </c>
      <c r="E11" s="28" t="s">
        <v>97</v>
      </c>
      <c r="F11" s="28" t="s">
        <v>104</v>
      </c>
      <c r="G11" s="29">
        <v>25000</v>
      </c>
      <c r="H11" s="30" t="s">
        <v>98</v>
      </c>
    </row>
    <row r="12" spans="2:8" ht="16.5" x14ac:dyDescent="0.35">
      <c r="B12" s="2"/>
      <c r="C12" s="27"/>
      <c r="D12" s="28"/>
      <c r="E12" s="31"/>
      <c r="F12" s="31"/>
      <c r="G12" s="29"/>
      <c r="H12" s="30"/>
    </row>
    <row r="13" spans="2:8" ht="16.5" x14ac:dyDescent="0.35">
      <c r="C13" s="32"/>
      <c r="D13" s="28"/>
      <c r="E13" s="31"/>
      <c r="F13" s="31"/>
      <c r="G13" s="29"/>
      <c r="H13" s="30"/>
    </row>
    <row r="14" spans="2:8" ht="16.5" x14ac:dyDescent="0.35">
      <c r="C14" s="32"/>
      <c r="D14" s="28"/>
      <c r="E14" s="31"/>
      <c r="F14" s="31"/>
      <c r="G14" s="29"/>
      <c r="H14" s="30"/>
    </row>
    <row r="15" spans="2:8" ht="16.5" x14ac:dyDescent="0.35">
      <c r="C15" s="32"/>
      <c r="D15" s="28"/>
      <c r="E15" s="31"/>
      <c r="F15" s="31"/>
      <c r="G15" s="29"/>
      <c r="H15" s="30"/>
    </row>
    <row r="16" spans="2:8" ht="16.5" x14ac:dyDescent="0.35">
      <c r="C16" s="32"/>
      <c r="D16" s="28"/>
      <c r="E16" s="31"/>
      <c r="F16" s="31"/>
      <c r="G16" s="29"/>
      <c r="H16" s="30"/>
    </row>
    <row r="17" spans="3:8" ht="16.5" x14ac:dyDescent="0.35">
      <c r="C17" s="32"/>
      <c r="D17" s="28"/>
      <c r="E17" s="31"/>
      <c r="F17" s="31"/>
      <c r="G17" s="29"/>
      <c r="H17" s="30"/>
    </row>
    <row r="18" spans="3:8" ht="16.5" x14ac:dyDescent="0.35">
      <c r="C18" s="32"/>
      <c r="D18" s="28"/>
      <c r="E18" s="31"/>
      <c r="F18" s="31"/>
      <c r="G18" s="29"/>
      <c r="H18" s="30"/>
    </row>
    <row r="19" spans="3:8" ht="16.5" x14ac:dyDescent="0.35">
      <c r="C19" s="32"/>
      <c r="D19" s="28"/>
      <c r="E19" s="31"/>
      <c r="F19" s="31"/>
      <c r="G19" s="29"/>
      <c r="H19" s="30"/>
    </row>
    <row r="20" spans="3:8" ht="16.5" x14ac:dyDescent="0.35">
      <c r="C20" s="32"/>
      <c r="D20" s="28"/>
      <c r="E20" s="31"/>
      <c r="F20" s="31"/>
      <c r="G20" s="29"/>
      <c r="H20" s="30"/>
    </row>
    <row r="21" spans="3:8" ht="16.5" x14ac:dyDescent="0.35">
      <c r="C21" s="32"/>
      <c r="D21" s="28"/>
      <c r="E21" s="31"/>
      <c r="F21" s="31"/>
      <c r="G21" s="29"/>
      <c r="H21" s="30"/>
    </row>
    <row r="22" spans="3:8" ht="16.5" x14ac:dyDescent="0.35">
      <c r="C22" s="32"/>
      <c r="D22" s="28"/>
      <c r="E22" s="31"/>
      <c r="F22" s="31"/>
      <c r="G22" s="29"/>
      <c r="H22" s="30"/>
    </row>
    <row r="23" spans="3:8" ht="16.5" x14ac:dyDescent="0.35">
      <c r="C23" s="32"/>
      <c r="D23" s="28"/>
      <c r="E23" s="31"/>
      <c r="F23" s="31"/>
      <c r="G23" s="29"/>
      <c r="H23" s="30"/>
    </row>
    <row r="24" spans="3:8" ht="16.5" x14ac:dyDescent="0.35">
      <c r="C24" s="32"/>
      <c r="D24" s="28"/>
      <c r="E24" s="31"/>
      <c r="F24" s="31"/>
      <c r="G24" s="29"/>
      <c r="H24" s="30"/>
    </row>
  </sheetData>
  <sheetProtection sheet="1" objects="1" selectLockedCells="1" autoFilter="0"/>
  <mergeCells count="2">
    <mergeCell ref="C7:F7"/>
    <mergeCell ref="G7:H7"/>
  </mergeCells>
  <dataValidations count="1">
    <dataValidation type="list" allowBlank="1" showInputMessage="1" showErrorMessage="1" sqref="D9:D24" xr:uid="{7E178624-92C0-4006-895F-9F6C97E967E0}">
      <formula1>"Veículo,Imóvel,Investimento"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6E769-595A-4918-829A-C79358CAF93E}">
  <dimension ref="A1:A51"/>
  <sheetViews>
    <sheetView topLeftCell="A23" workbookViewId="0">
      <selection activeCell="A2" sqref="A2"/>
    </sheetView>
  </sheetViews>
  <sheetFormatPr defaultRowHeight="15" x14ac:dyDescent="0.25"/>
  <sheetData>
    <row r="1" spans="1:1" x14ac:dyDescent="0.25">
      <c r="A1" t="s">
        <v>74</v>
      </c>
    </row>
    <row r="2" spans="1:1" x14ac:dyDescent="0.25">
      <c r="A2" t="s">
        <v>24</v>
      </c>
    </row>
    <row r="3" spans="1:1" x14ac:dyDescent="0.25">
      <c r="A3" t="s">
        <v>25</v>
      </c>
    </row>
    <row r="4" spans="1:1" x14ac:dyDescent="0.25">
      <c r="A4" t="s">
        <v>26</v>
      </c>
    </row>
    <row r="5" spans="1:1" x14ac:dyDescent="0.25">
      <c r="A5" t="s">
        <v>27</v>
      </c>
    </row>
    <row r="6" spans="1:1" x14ac:dyDescent="0.25">
      <c r="A6" t="s">
        <v>28</v>
      </c>
    </row>
    <row r="7" spans="1:1" x14ac:dyDescent="0.25">
      <c r="A7" t="s">
        <v>29</v>
      </c>
    </row>
    <row r="8" spans="1:1" x14ac:dyDescent="0.25">
      <c r="A8" t="s">
        <v>30</v>
      </c>
    </row>
    <row r="9" spans="1:1" x14ac:dyDescent="0.25">
      <c r="A9" t="s">
        <v>31</v>
      </c>
    </row>
    <row r="10" spans="1:1" x14ac:dyDescent="0.25">
      <c r="A10" t="s">
        <v>32</v>
      </c>
    </row>
    <row r="11" spans="1:1" x14ac:dyDescent="0.25">
      <c r="A11" t="s">
        <v>33</v>
      </c>
    </row>
    <row r="12" spans="1:1" x14ac:dyDescent="0.25">
      <c r="A12" t="s">
        <v>34</v>
      </c>
    </row>
    <row r="13" spans="1:1" x14ac:dyDescent="0.25">
      <c r="A13" t="s">
        <v>35</v>
      </c>
    </row>
    <row r="14" spans="1:1" x14ac:dyDescent="0.25">
      <c r="A14" t="s">
        <v>36</v>
      </c>
    </row>
    <row r="15" spans="1:1" x14ac:dyDescent="0.25">
      <c r="A15" t="s">
        <v>37</v>
      </c>
    </row>
    <row r="16" spans="1:1" x14ac:dyDescent="0.25">
      <c r="A16" t="s">
        <v>38</v>
      </c>
    </row>
    <row r="17" spans="1:1" x14ac:dyDescent="0.25">
      <c r="A17" t="s">
        <v>39</v>
      </c>
    </row>
    <row r="18" spans="1:1" x14ac:dyDescent="0.25">
      <c r="A18" t="s">
        <v>40</v>
      </c>
    </row>
    <row r="19" spans="1:1" x14ac:dyDescent="0.25">
      <c r="A19" t="s">
        <v>41</v>
      </c>
    </row>
    <row r="20" spans="1:1" x14ac:dyDescent="0.25">
      <c r="A20" t="s">
        <v>42</v>
      </c>
    </row>
    <row r="21" spans="1:1" x14ac:dyDescent="0.25">
      <c r="A21" t="s">
        <v>43</v>
      </c>
    </row>
    <row r="22" spans="1:1" x14ac:dyDescent="0.25">
      <c r="A22" t="s">
        <v>44</v>
      </c>
    </row>
    <row r="23" spans="1:1" x14ac:dyDescent="0.25">
      <c r="A23" t="s">
        <v>45</v>
      </c>
    </row>
    <row r="24" spans="1:1" x14ac:dyDescent="0.25">
      <c r="A24" t="s">
        <v>46</v>
      </c>
    </row>
    <row r="25" spans="1:1" x14ac:dyDescent="0.25">
      <c r="A25" t="s">
        <v>47</v>
      </c>
    </row>
    <row r="26" spans="1:1" x14ac:dyDescent="0.25">
      <c r="A26" t="s">
        <v>48</v>
      </c>
    </row>
    <row r="27" spans="1:1" x14ac:dyDescent="0.25">
      <c r="A27" t="s">
        <v>49</v>
      </c>
    </row>
    <row r="28" spans="1:1" x14ac:dyDescent="0.25">
      <c r="A28" t="s">
        <v>50</v>
      </c>
    </row>
    <row r="29" spans="1:1" x14ac:dyDescent="0.25">
      <c r="A29" t="s">
        <v>51</v>
      </c>
    </row>
    <row r="30" spans="1:1" x14ac:dyDescent="0.25">
      <c r="A30" t="s">
        <v>52</v>
      </c>
    </row>
    <row r="31" spans="1:1" x14ac:dyDescent="0.25">
      <c r="A31" t="s">
        <v>53</v>
      </c>
    </row>
    <row r="32" spans="1:1" x14ac:dyDescent="0.25">
      <c r="A32" t="s">
        <v>54</v>
      </c>
    </row>
    <row r="33" spans="1:1" x14ac:dyDescent="0.25">
      <c r="A33" t="s">
        <v>55</v>
      </c>
    </row>
    <row r="34" spans="1:1" x14ac:dyDescent="0.25">
      <c r="A34" t="s">
        <v>56</v>
      </c>
    </row>
    <row r="35" spans="1:1" x14ac:dyDescent="0.25">
      <c r="A35" t="s">
        <v>57</v>
      </c>
    </row>
    <row r="36" spans="1:1" x14ac:dyDescent="0.25">
      <c r="A36" t="s">
        <v>58</v>
      </c>
    </row>
    <row r="37" spans="1:1" x14ac:dyDescent="0.25">
      <c r="A37" t="s">
        <v>59</v>
      </c>
    </row>
    <row r="38" spans="1:1" x14ac:dyDescent="0.25">
      <c r="A38" t="s">
        <v>60</v>
      </c>
    </row>
    <row r="39" spans="1:1" x14ac:dyDescent="0.25">
      <c r="A39" t="s">
        <v>61</v>
      </c>
    </row>
    <row r="40" spans="1:1" x14ac:dyDescent="0.25">
      <c r="A40" t="s">
        <v>62</v>
      </c>
    </row>
    <row r="41" spans="1:1" x14ac:dyDescent="0.25">
      <c r="A41" t="s">
        <v>63</v>
      </c>
    </row>
    <row r="42" spans="1:1" x14ac:dyDescent="0.25">
      <c r="A42" t="s">
        <v>64</v>
      </c>
    </row>
    <row r="43" spans="1:1" x14ac:dyDescent="0.25">
      <c r="A43" t="s">
        <v>65</v>
      </c>
    </row>
    <row r="44" spans="1:1" x14ac:dyDescent="0.25">
      <c r="A44" t="s">
        <v>66</v>
      </c>
    </row>
    <row r="45" spans="1:1" x14ac:dyDescent="0.25">
      <c r="A45" t="s">
        <v>67</v>
      </c>
    </row>
    <row r="46" spans="1:1" x14ac:dyDescent="0.25">
      <c r="A46" t="s">
        <v>68</v>
      </c>
    </row>
    <row r="47" spans="1:1" x14ac:dyDescent="0.25">
      <c r="A47" t="s">
        <v>69</v>
      </c>
    </row>
    <row r="48" spans="1:1" x14ac:dyDescent="0.25">
      <c r="A48" t="s">
        <v>70</v>
      </c>
    </row>
    <row r="49" spans="1:1" x14ac:dyDescent="0.25">
      <c r="A49" t="s">
        <v>71</v>
      </c>
    </row>
    <row r="50" spans="1:1" x14ac:dyDescent="0.25">
      <c r="A50" t="s">
        <v>72</v>
      </c>
    </row>
    <row r="51" spans="1:1" x14ac:dyDescent="0.25">
      <c r="A51" t="s">
        <v>73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TITULAR</vt:lpstr>
      <vt:lpstr>INFORMES</vt:lpstr>
      <vt:lpstr>NOTAS</vt:lpstr>
      <vt:lpstr>BENS</vt:lpstr>
      <vt:lpstr>Bank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Lucio Vale</dc:creator>
  <cp:lastModifiedBy>Lucio Vale</cp:lastModifiedBy>
  <cp:lastPrinted>2026-08-22T17:57:20Z</cp:lastPrinted>
  <dcterms:created xsi:type="dcterms:W3CDTF">2026-08-21T22:07:33Z</dcterms:created>
  <dcterms:modified xsi:type="dcterms:W3CDTF">2026-08-22T18:26:22Z</dcterms:modified>
</cp:coreProperties>
</file>